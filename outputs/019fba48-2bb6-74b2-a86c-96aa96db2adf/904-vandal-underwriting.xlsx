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1d2c1a112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09ad9601d74774"/>
    <x:sheet xmlns:r="http://schemas.openxmlformats.org/officeDocument/2006/relationships" name="Assumptions" sheetId="2" r:id="R679b0115cbeb4e55"/>
    <x:sheet xmlns:r="http://schemas.openxmlformats.org/officeDocument/2006/relationships" name="Underwriting" sheetId="3" r:id="R3fcb5144fdc44fc3"/>
    <x:sheet xmlns:r="http://schemas.openxmlformats.org/officeDocument/2006/relationships" name="Historical" sheetId="4" r:id="R039c2eca4dd042e6"/>
    <x:sheet xmlns:r="http://schemas.openxmlformats.org/officeDocument/2006/relationships" name="Sensitivity" sheetId="5" r:id="R4a3d9b88f676453e"/>
    <x:sheet xmlns:r="http://schemas.openxmlformats.org/officeDocument/2006/relationships" name="Checks" sheetId="6" r:id="Rfc0eb8b95688493e"/>
    <x:sheet xmlns:r="http://schemas.openxmlformats.org/officeDocument/2006/relationships" name="Sources" sheetId="7" r:id="R01ce3ceb4b4f4a74"/>
  </x:sheets>
</x:workbook>
</file>

<file path=xl/comments1.xml><?xml version="1.0" encoding="utf-8"?>
<x:comments xmlns:x="http://schemas.openxmlformats.org/spreadsheetml/2006/main">
  <x:authors>
    <x:author>tc={656DCC6E-FBC2-47A0-A4A4-4068D39567FC}</x:author>
    <x:author>tc={ACDBC5A2-4FD0-14C4-9106-88E7A286E27C}</x:author>
    <x:author>tc={3C2FD899-7B17-56EA-2F7B-7D8D7A1E7000}</x:author>
    <x:author>tc={8107D0FF-CB3D-0F65-047F-2B9D06D3365C}</x:author>
    <x:author>tc={A7FA60E2-29FF-4918-F101-A3A057CCBE20}</x:author>
    <x:author>tc={C4378824-9E6A-4882-0B5E-086834FD7CEA}</x:author>
    <x:author>tc={74307AF5-5A45-B29E-8AA5-6B1116CAACAB}</x:author>
    <x:author>tc={34FFA0CA-7785-E513-A69C-857197DBC4A7}</x:author>
    <x:author>tc={319F5945-3C11-B96A-DB38-DA6BC49E765B}</x:author>
    <x:author>tc={D3FF451B-6AC2-DA8C-2376-7C6651B7E8DC}</x:author>
    <x:author>tc={7207AB8C-2391-1B4D-8CD6-3B3372EE8A23}</x:author>
    <x:author>tc={D0720A52-AFE1-2FC0-B328-77413F7D3731}</x:author>
    <x:author>tc={B4D78991-6A4B-1C64-C879-D9997B96095A}</x:author>
    <x:author>tc={E1430A43-2D03-D5AF-B492-8CAA70E253FB}</x:author>
    <x:author>tc={8135D9FB-129D-658A-CD44-2D26182B22C1}</x:author>
    <x:author>tc={465088E6-225A-32FB-D5BC-DAFB76130A48}</x:author>
    <x:author>tc={6CBE3458-B8C5-626E-A129-9D418A214128}</x:author>
    <x:author>tc={5EE25FF3-B7D6-AE32-C976-B1A7DD359DB4}</x:author>
    <x:author>tc={6E892B1E-4127-D2EA-40D7-4AD8620A8623}</x:author>
    <x:author>tc={FD88E619-519F-4CA8-1733-539B10818F2B}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Intermountain MLS listing. https://imls.paragonrels.com/CCR/collablink/7d45e31b-9075-4b76-a0fb-ae4470d87e67/listings/results?&amp;forMlsId=IMLS&amp;sid=KPwuy_aYIKz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Intermountain MLS listing. https://imls.paragonrels.com/CCR/collablink/7d45e31b-9075-4b76-a0fb-ae4470d87e67/listings/results?&amp;forMlsId=IMLS&amp;sid=KPwuy_aYIKz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Intermountain MLS listing. https://imls.paragonrels.com/CCR/collablink/7d45e31b-9075-4b76-a0fb-ae4470d87e67/listings/results?&amp;forMlsId=IMLS&amp;sid=KPwuy_aYIKz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MLS remarks and master rent roll. https://imls.paragonrels.com/ParagonLS/Files/AssociatedDocs/IMLS/7/IMLS_1230797.pdf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2025 taxes shown in MLS property details. https://imls.paragonrels.com/CCR/collablink/7d45e31b-9075-4b76-a0fb-ae4470d87e67/listings/results?&amp;forMlsId=IMLS&amp;sid=KPwuy_aYIKz</x:t>
        </x:r>
      </x:text>
    </x:comment>
    <x:comment ref="H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U.S. Treasury daily par yield curve, 5-year CMT on 2026-07-31. https://home.treasury.gov/resource-center/data-chart-center/interest-rates/TextView?field_tdr_date_value_month=202607&amp;type=daily_treasury_yield_curve</x:t>
        </x:r>
      </x:text>
    </x:comment>
    <x:comment ref="B1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Roll, total charges $7,345/month as of 2026-01-21. https://imls.paragonrels.com/ParagonLS/Files/AssociatedDocs/IMLS/7/IMLS_1230797.pdf</x:t>
        </x:r>
      </x:text>
    </x:comment>
    <x:comment ref="B2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B2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Master Rent Roll dated 2026-01-21. https://imls.paragonrels.com/ParagonLS/Files/AssociatedDocs/IMLS/7/IMLS_1230797.pdf</x:t>
        </x:r>
      </x:text>
    </x:comment>
    <x:comment ref="E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estimate. Obtain a bindable insurance quote before relying on this underwriting.</x:t>
        </x:r>
      </x:text>
    </x:comment>
    <x:comment ref="B1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valuation assumption. Sensitivity table shows 6.00%-7.50%; verify against local multifamily sales and an appraisal.</x:t>
        </x:r>
      </x:text>
    </x:comment>
    <x:comment ref="E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User-requested pro forma rent assumption. Verify with current Moscow, Idaho rent comps and lease-up costs.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;[Red]($#,##0);-"/>
    <x:numFmt numFmtId="201" formatCode="#,##0;[Red](#,##0);-"/>
    <x:numFmt numFmtId="202" formatCode="0.0%;[Red](0.0%);-"/>
    <x:numFmt numFmtId="203" formatCode="0.00%;[Red](0.00%);-"/>
    <x:numFmt numFmtId="204" formatCode="0.00x;[Red](0.00x);-"/>
    <x:numFmt numFmtId="205" formatCode="mmm d, yyyy"/>
    <x:numFmt numFmtId="206" formatCode="$#,##0.0;[Red]($#,##0.0);-"/>
    <x:numFmt numFmtId="207" formatCode="yyyy-mm-dd"/>
  </x:numFmts>
  <x:fonts count="20">
    <x:font>
      <x:sz val="11"/>
      <x:name val="Carlito"/>
    </x:font>
    <x:font>
      <x:sz val="10"/>
      <x:color rgb="FF101828"/>
      <x:name val="Arial"/>
    </x:font>
    <x:font>
      <x:b/>
      <x:sz val="18"/>
      <x:color rgb="FFFFFFFF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b/>
      <x:sz val="10"/>
      <x:color rgb="FF101828"/>
      <x:name val="Arial"/>
    </x:font>
    <x:font>
      <x:sz val="9"/>
      <x:color rgb="FF101828"/>
      <x:name val="Arial"/>
    </x:font>
    <x:font>
      <x:b/>
      <x:sz val="9"/>
      <x:color rgb="FFB54708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b/>
      <x:sz val="9"/>
      <x:color rgb="FF17324D"/>
      <x:name val="Arial"/>
    </x:font>
    <x:font>
      <x:b/>
      <x:sz val="18"/>
      <x:color rgb="FFB42318"/>
      <x:name val="Arial"/>
    </x:font>
    <x:font>
      <x:b/>
      <x:sz val="18"/>
      <x:color rgb="FFB54708"/>
      <x:name val="Arial"/>
    </x:font>
    <x:font>
      <x:b/>
      <x:sz val="18"/>
      <x:color rgb="FF1F7A4D"/>
      <x:name val="Arial"/>
    </x:font>
    <x:font>
      <x:b/>
      <x:sz val="18"/>
      <x:color rgb="FF0B5EA8"/>
      <x:name val="Arial"/>
    </x:font>
    <x:font>
      <x:b/>
      <x:sz val="18"/>
      <x:color rgb="FF17324D"/>
      <x:name val="Arial"/>
    </x:font>
    <x:font>
      <x:b/>
      <x:sz val="11"/>
      <x:color rgb="FFB54708"/>
      <x:name val="Arial"/>
    </x:font>
    <x:font>
      <x:b/>
      <x:sz val="10"/>
      <x:color rgb="FF0B5EA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FFF4E5"/>
      </x:patternFill>
    </x:fill>
    <x:fill>
      <x:patternFill patternType="solid">
        <x:fgColor rgb="FFE7F4EC"/>
      </x:patternFill>
    </x:fill>
    <x:fill>
      <x:patternFill patternType="solid">
        <x:fgColor rgb="FFFDECEA"/>
      </x:patternFill>
    </x:fill>
  </x:fills>
  <x:borders count="14">
    <x:border/>
    <x:border>
      <x:top style="thin">
        <x:color rgb="FF17324D"/>
      </x:top>
    </x:border>
    <x:border>
      <x:bottom style="double">
        <x:color rgb="FF17324D"/>
      </x:bottom>
    </x:border>
    <x:border>
      <x:top style="thin">
        <x:color rgb="FF17324D"/>
      </x:top>
      <x:bottom style="double">
        <x:color rgb="FF17324D"/>
      </x:bottom>
    </x:border>
    <x:border>
      <x:left style="thin">
        <x:color rgb="FFEAECF0"/>
      </x:left>
      <x:top style="thin">
        <x:color rgb="FFEAECF0"/>
      </x:top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bottom style="thin">
        <x:color rgb="FFEAECF0"/>
      </x:bottom>
    </x:border>
    <x:border>
      <x:left style="thin">
        <x:color rgb="FFB54708"/>
      </x:left>
      <x:top style="thin">
        <x:color rgb="FFB54708"/>
      </x:top>
    </x:border>
    <x:border>
      <x:top style="thin">
        <x:color rgb="FFB54708"/>
      </x:top>
    </x:border>
    <x:border>
      <x:right style="thin">
        <x:color rgb="FFB54708"/>
      </x:right>
      <x:top style="thin">
        <x:color rgb="FFB54708"/>
      </x:top>
    </x:border>
    <x:border>
      <x:left style="thin">
        <x:color rgb="FFB54708"/>
      </x:left>
      <x:bottom style="thin">
        <x:color rgb="FFB54708"/>
      </x:bottom>
    </x:border>
    <x:border>
      <x:bottom style="thin">
        <x:color rgb="FFB54708"/>
      </x:bottom>
    </x:border>
    <x:border>
      <x:right style="thin">
        <x:color rgb="FFB54708"/>
      </x:right>
      <x:bottom style="thin">
        <x:color rgb="FFB54708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4" borderId="0" xfId="0" applyNumberFormat="1" applyFont="1" applyFill="1" applyBorder="1"/>
    <x:xf numFmtId="200" fontId="5" fillId="4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3" fontId="5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0" fontId="7" fillId="0" borderId="2" xfId="0" applyNumberFormat="1" applyFont="1" applyFill="1" applyBorder="1"/>
    <x:xf numFmtId="200" fontId="7" fillId="0" borderId="2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horizontal="left" vertical="center"/>
    </x:xf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  <x:xf numFmtId="200" fontId="11" fillId="2" borderId="0" xfId="0" applyNumberFormat="1" applyFont="1" applyFill="1" applyBorder="1" applyAlignment="1">
      <x:alignment horizontal="left" vertical="center"/>
    </x:xf>
    <x:xf numFmtId="204" fontId="10" fillId="0" borderId="0" xfId="0" applyNumberFormat="1" applyFont="1" applyFill="1" applyBorder="1"/>
    <x:xf numFmtId="200" fontId="7" fillId="2" borderId="0" xfId="0" applyNumberFormat="1" applyFont="1" applyFill="1" applyBorder="1" applyAlignment="1">
      <x:alignment horizontal="left" vertical="center"/>
    </x:xf>
    <x:xf numFmtId="0" fontId="7" fillId="0" borderId="3" xfId="0" applyNumberFormat="1" applyFont="1" applyFill="1" applyBorder="1"/>
    <x:xf numFmtId="200" fontId="7" fillId="0" borderId="3" xfId="0" applyNumberFormat="1" applyFont="1" applyFill="1" applyBorder="1"/>
    <x:xf numFmtId="0" fontId="1" fillId="7" borderId="0" xfId="0" applyNumberFormat="1" applyFont="1" applyFill="1" applyBorder="1"/>
    <x:xf numFmtId="200" fontId="1" fillId="7" borderId="0" xfId="0" applyNumberFormat="1" applyFont="1" applyFill="1" applyBorder="1"/>
    <x:xf numFmtId="202" fontId="1" fillId="7" borderId="0" xfId="0" applyNumberFormat="1" applyFont="1" applyFill="1" applyBorder="1"/>
    <x:xf numFmtId="200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1" fillId="6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4" xfId="0" applyNumberFormat="1" applyFont="1" applyFill="1" applyBorder="1"/>
    <x:xf numFmtId="0" fontId="13" fillId="8" borderId="5" xfId="0" applyNumberFormat="1" applyFont="1" applyFill="1" applyBorder="1"/>
    <x:xf numFmtId="0" fontId="13" fillId="8" borderId="6" xfId="0" applyNumberFormat="1" applyFont="1" applyFill="1" applyBorder="1"/>
    <x:xf numFmtId="0" fontId="13" fillId="8" borderId="7" xfId="0" applyNumberFormat="1" applyFont="1" applyFill="1" applyBorder="1"/>
    <x:xf numFmtId="200" fontId="13" fillId="8" borderId="4" xfId="0" applyNumberFormat="1" applyFont="1" applyFill="1" applyBorder="1"/>
    <x:xf numFmtId="200" fontId="13" fillId="8" borderId="5" xfId="0" applyNumberFormat="1" applyFont="1" applyFill="1" applyBorder="1"/>
    <x:xf numFmtId="200" fontId="13" fillId="8" borderId="6" xfId="0" applyNumberFormat="1" applyFont="1" applyFill="1" applyBorder="1"/>
    <x:xf numFmtId="200" fontId="13" fillId="8" borderId="7" xfId="0" applyNumberFormat="1" applyFont="1" applyFill="1" applyBorder="1"/>
    <x:xf numFmtId="200" fontId="13" fillId="8" borderId="4" xfId="0" applyNumberFormat="1" applyFont="1" applyFill="1" applyBorder="1" applyAlignment="1">
      <x:alignment horizontal="center"/>
    </x:xf>
    <x:xf numFmtId="200" fontId="13" fillId="8" borderId="5" xfId="0" applyNumberFormat="1" applyFont="1" applyFill="1" applyBorder="1" applyAlignment="1">
      <x:alignment horizontal="center"/>
    </x:xf>
    <x:xf numFmtId="200" fontId="13" fillId="8" borderId="6" xfId="0" applyNumberFormat="1" applyFont="1" applyFill="1" applyBorder="1" applyAlignment="1">
      <x:alignment horizontal="center"/>
    </x:xf>
    <x:xf numFmtId="200" fontId="13" fillId="8" borderId="7" xfId="0" applyNumberFormat="1" applyFont="1" applyFill="1" applyBorder="1" applyAlignment="1">
      <x:alignment horizontal="center"/>
    </x:xf>
    <x:xf numFmtId="200" fontId="13" fillId="8" borderId="4" xfId="0" applyNumberFormat="1" applyFont="1" applyFill="1" applyBorder="1" applyAlignment="1">
      <x:alignment horizontal="center" vertical="center"/>
    </x:xf>
    <x:xf numFmtId="200" fontId="13" fillId="8" borderId="5" xfId="0" applyNumberFormat="1" applyFont="1" applyFill="1" applyBorder="1" applyAlignment="1">
      <x:alignment horizontal="center" vertical="center"/>
    </x:xf>
    <x:xf numFmtId="200" fontId="13" fillId="8" borderId="6" xfId="0" applyNumberFormat="1" applyFont="1" applyFill="1" applyBorder="1" applyAlignment="1">
      <x:alignment horizontal="center" vertical="center"/>
    </x:xf>
    <x:xf numFmtId="200" fontId="13" fillId="8" borderId="7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/>
    <x:xf numFmtId="0" fontId="14" fillId="6" borderId="4" xfId="0" applyNumberFormat="1" applyFont="1" applyFill="1" applyBorder="1"/>
    <x:xf numFmtId="0" fontId="14" fillId="6" borderId="5" xfId="0" applyNumberFormat="1" applyFont="1" applyFill="1" applyBorder="1"/>
    <x:xf numFmtId="0" fontId="14" fillId="6" borderId="6" xfId="0" applyNumberFormat="1" applyFont="1" applyFill="1" applyBorder="1"/>
    <x:xf numFmtId="0" fontId="14" fillId="6" borderId="7" xfId="0" applyNumberFormat="1" applyFont="1" applyFill="1" applyBorder="1"/>
    <x:xf numFmtId="200" fontId="14" fillId="6" borderId="4" xfId="0" applyNumberFormat="1" applyFont="1" applyFill="1" applyBorder="1"/>
    <x:xf numFmtId="200" fontId="14" fillId="6" borderId="5" xfId="0" applyNumberFormat="1" applyFont="1" applyFill="1" applyBorder="1"/>
    <x:xf numFmtId="200" fontId="14" fillId="6" borderId="6" xfId="0" applyNumberFormat="1" applyFont="1" applyFill="1" applyBorder="1"/>
    <x:xf numFmtId="200" fontId="14" fillId="6" borderId="7" xfId="0" applyNumberFormat="1" applyFont="1" applyFill="1" applyBorder="1"/>
    <x:xf numFmtId="200" fontId="14" fillId="6" borderId="4" xfId="0" applyNumberFormat="1" applyFont="1" applyFill="1" applyBorder="1" applyAlignment="1">
      <x:alignment horizontal="center"/>
    </x:xf>
    <x:xf numFmtId="200" fontId="14" fillId="6" borderId="5" xfId="0" applyNumberFormat="1" applyFont="1" applyFill="1" applyBorder="1" applyAlignment="1">
      <x:alignment horizontal="center"/>
    </x:xf>
    <x:xf numFmtId="200" fontId="14" fillId="6" borderId="6" xfId="0" applyNumberFormat="1" applyFont="1" applyFill="1" applyBorder="1" applyAlignment="1">
      <x:alignment horizontal="center"/>
    </x:xf>
    <x:xf numFmtId="200" fontId="14" fillId="6" borderId="7" xfId="0" applyNumberFormat="1" applyFont="1" applyFill="1" applyBorder="1" applyAlignment="1">
      <x:alignment horizontal="center"/>
    </x:xf>
    <x:xf numFmtId="200" fontId="14" fillId="6" borderId="4" xfId="0" applyNumberFormat="1" applyFont="1" applyFill="1" applyBorder="1" applyAlignment="1">
      <x:alignment horizontal="center" vertical="center"/>
    </x:xf>
    <x:xf numFmtId="200" fontId="14" fillId="6" borderId="5" xfId="0" applyNumberFormat="1" applyFont="1" applyFill="1" applyBorder="1" applyAlignment="1">
      <x:alignment horizontal="center" vertical="center"/>
    </x:xf>
    <x:xf numFmtId="200" fontId="14" fillId="6" borderId="6" xfId="0" applyNumberFormat="1" applyFont="1" applyFill="1" applyBorder="1" applyAlignment="1">
      <x:alignment horizontal="center" vertical="center"/>
    </x:xf>
    <x:xf numFmtId="200" fontId="14" fillId="6" borderId="7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/>
    <x:xf numFmtId="0" fontId="15" fillId="7" borderId="4" xfId="0" applyNumberFormat="1" applyFont="1" applyFill="1" applyBorder="1"/>
    <x:xf numFmtId="0" fontId="15" fillId="7" borderId="5" xfId="0" applyNumberFormat="1" applyFont="1" applyFill="1" applyBorder="1"/>
    <x:xf numFmtId="0" fontId="15" fillId="7" borderId="6" xfId="0" applyNumberFormat="1" applyFont="1" applyFill="1" applyBorder="1"/>
    <x:xf numFmtId="0" fontId="15" fillId="7" borderId="7" xfId="0" applyNumberFormat="1" applyFont="1" applyFill="1" applyBorder="1"/>
    <x:xf numFmtId="200" fontId="15" fillId="7" borderId="4" xfId="0" applyNumberFormat="1" applyFont="1" applyFill="1" applyBorder="1"/>
    <x:xf numFmtId="200" fontId="15" fillId="7" borderId="5" xfId="0" applyNumberFormat="1" applyFont="1" applyFill="1" applyBorder="1"/>
    <x:xf numFmtId="200" fontId="15" fillId="7" borderId="6" xfId="0" applyNumberFormat="1" applyFont="1" applyFill="1" applyBorder="1"/>
    <x:xf numFmtId="200" fontId="15" fillId="7" borderId="7" xfId="0" applyNumberFormat="1" applyFont="1" applyFill="1" applyBorder="1"/>
    <x:xf numFmtId="200" fontId="15" fillId="7" borderId="4" xfId="0" applyNumberFormat="1" applyFont="1" applyFill="1" applyBorder="1" applyAlignment="1">
      <x:alignment horizontal="center"/>
    </x:xf>
    <x:xf numFmtId="200" fontId="15" fillId="7" borderId="5" xfId="0" applyNumberFormat="1" applyFont="1" applyFill="1" applyBorder="1" applyAlignment="1">
      <x:alignment horizontal="center"/>
    </x:xf>
    <x:xf numFmtId="200" fontId="15" fillId="7" borderId="6" xfId="0" applyNumberFormat="1" applyFont="1" applyFill="1" applyBorder="1" applyAlignment="1">
      <x:alignment horizontal="center"/>
    </x:xf>
    <x:xf numFmtId="200" fontId="15" fillId="7" borderId="7" xfId="0" applyNumberFormat="1" applyFont="1" applyFill="1" applyBorder="1" applyAlignment="1">
      <x:alignment horizontal="center"/>
    </x:xf>
    <x:xf numFmtId="200" fontId="15" fillId="7" borderId="4" xfId="0" applyNumberFormat="1" applyFont="1" applyFill="1" applyBorder="1" applyAlignment="1">
      <x:alignment horizontal="center" vertical="center"/>
    </x:xf>
    <x:xf numFmtId="200" fontId="15" fillId="7" borderId="5" xfId="0" applyNumberFormat="1" applyFont="1" applyFill="1" applyBorder="1" applyAlignment="1">
      <x:alignment horizontal="center" vertical="center"/>
    </x:xf>
    <x:xf numFmtId="200" fontId="15" fillId="7" borderId="6" xfId="0" applyNumberFormat="1" applyFont="1" applyFill="1" applyBorder="1" applyAlignment="1">
      <x:alignment horizontal="center" vertical="center"/>
    </x:xf>
    <x:xf numFmtId="200" fontId="15" fillId="7" borderId="7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/>
    <x:xf numFmtId="0" fontId="16" fillId="3" borderId="4" xfId="0" applyNumberFormat="1" applyFont="1" applyFill="1" applyBorder="1"/>
    <x:xf numFmtId="0" fontId="16" fillId="3" borderId="5" xfId="0" applyNumberFormat="1" applyFont="1" applyFill="1" applyBorder="1"/>
    <x:xf numFmtId="0" fontId="16" fillId="3" borderId="6" xfId="0" applyNumberFormat="1" applyFont="1" applyFill="1" applyBorder="1"/>
    <x:xf numFmtId="0" fontId="16" fillId="3" borderId="7" xfId="0" applyNumberFormat="1" applyFont="1" applyFill="1" applyBorder="1"/>
    <x:xf numFmtId="200" fontId="16" fillId="3" borderId="4" xfId="0" applyNumberFormat="1" applyFont="1" applyFill="1" applyBorder="1"/>
    <x:xf numFmtId="200" fontId="16" fillId="3" borderId="5" xfId="0" applyNumberFormat="1" applyFont="1" applyFill="1" applyBorder="1"/>
    <x:xf numFmtId="200" fontId="16" fillId="3" borderId="6" xfId="0" applyNumberFormat="1" applyFont="1" applyFill="1" applyBorder="1"/>
    <x:xf numFmtId="200" fontId="16" fillId="3" borderId="7" xfId="0" applyNumberFormat="1" applyFont="1" applyFill="1" applyBorder="1"/>
    <x:xf numFmtId="200" fontId="16" fillId="3" borderId="4" xfId="0" applyNumberFormat="1" applyFont="1" applyFill="1" applyBorder="1" applyAlignment="1">
      <x:alignment horizontal="center"/>
    </x:xf>
    <x:xf numFmtId="200" fontId="16" fillId="3" borderId="5" xfId="0" applyNumberFormat="1" applyFont="1" applyFill="1" applyBorder="1" applyAlignment="1">
      <x:alignment horizontal="center"/>
    </x:xf>
    <x:xf numFmtId="200" fontId="16" fillId="3" borderId="6" xfId="0" applyNumberFormat="1" applyFont="1" applyFill="1" applyBorder="1" applyAlignment="1">
      <x:alignment horizontal="center"/>
    </x:xf>
    <x:xf numFmtId="200" fontId="16" fillId="3" borderId="7" xfId="0" applyNumberFormat="1" applyFont="1" applyFill="1" applyBorder="1" applyAlignment="1">
      <x:alignment horizontal="center"/>
    </x:xf>
    <x:xf numFmtId="200" fontId="16" fillId="3" borderId="4" xfId="0" applyNumberFormat="1" applyFont="1" applyFill="1" applyBorder="1" applyAlignment="1">
      <x:alignment horizontal="center" vertical="center"/>
    </x:xf>
    <x:xf numFmtId="200" fontId="16" fillId="3" borderId="5" xfId="0" applyNumberFormat="1" applyFont="1" applyFill="1" applyBorder="1" applyAlignment="1">
      <x:alignment horizontal="center" vertical="center"/>
    </x:xf>
    <x:xf numFmtId="200" fontId="16" fillId="3" borderId="6" xfId="0" applyNumberFormat="1" applyFont="1" applyFill="1" applyBorder="1" applyAlignment="1">
      <x:alignment horizontal="center" vertical="center"/>
    </x:xf>
    <x:xf numFmtId="200" fontId="16" fillId="3" borderId="7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/>
    <x:xf numFmtId="0" fontId="17" fillId="3" borderId="4" xfId="0" applyNumberFormat="1" applyFont="1" applyFill="1" applyBorder="1"/>
    <x:xf numFmtId="0" fontId="17" fillId="3" borderId="5" xfId="0" applyNumberFormat="1" applyFont="1" applyFill="1" applyBorder="1"/>
    <x:xf numFmtId="0" fontId="17" fillId="3" borderId="6" xfId="0" applyNumberFormat="1" applyFont="1" applyFill="1" applyBorder="1"/>
    <x:xf numFmtId="0" fontId="17" fillId="3" borderId="7" xfId="0" applyNumberFormat="1" applyFont="1" applyFill="1" applyBorder="1"/>
    <x:xf numFmtId="203" fontId="17" fillId="3" borderId="4" xfId="0" applyNumberFormat="1" applyFont="1" applyFill="1" applyBorder="1"/>
    <x:xf numFmtId="203" fontId="17" fillId="3" borderId="5" xfId="0" applyNumberFormat="1" applyFont="1" applyFill="1" applyBorder="1"/>
    <x:xf numFmtId="203" fontId="17" fillId="3" borderId="6" xfId="0" applyNumberFormat="1" applyFont="1" applyFill="1" applyBorder="1"/>
    <x:xf numFmtId="203" fontId="17" fillId="3" borderId="7" xfId="0" applyNumberFormat="1" applyFont="1" applyFill="1" applyBorder="1"/>
    <x:xf numFmtId="203" fontId="17" fillId="3" borderId="4" xfId="0" applyNumberFormat="1" applyFont="1" applyFill="1" applyBorder="1" applyAlignment="1">
      <x:alignment horizontal="center"/>
    </x:xf>
    <x:xf numFmtId="203" fontId="17" fillId="3" borderId="5" xfId="0" applyNumberFormat="1" applyFont="1" applyFill="1" applyBorder="1" applyAlignment="1">
      <x:alignment horizontal="center"/>
    </x:xf>
    <x:xf numFmtId="203" fontId="17" fillId="3" borderId="6" xfId="0" applyNumberFormat="1" applyFont="1" applyFill="1" applyBorder="1" applyAlignment="1">
      <x:alignment horizontal="center"/>
    </x:xf>
    <x:xf numFmtId="203" fontId="17" fillId="3" borderId="7" xfId="0" applyNumberFormat="1" applyFont="1" applyFill="1" applyBorder="1" applyAlignment="1">
      <x:alignment horizontal="center"/>
    </x:xf>
    <x:xf numFmtId="203" fontId="17" fillId="3" borderId="4" xfId="0" applyNumberFormat="1" applyFont="1" applyFill="1" applyBorder="1" applyAlignment="1">
      <x:alignment horizontal="center" vertical="center"/>
    </x:xf>
    <x:xf numFmtId="203" fontId="17" fillId="3" borderId="5" xfId="0" applyNumberFormat="1" applyFont="1" applyFill="1" applyBorder="1" applyAlignment="1">
      <x:alignment horizontal="center" vertical="center"/>
    </x:xf>
    <x:xf numFmtId="203" fontId="17" fillId="3" borderId="6" xfId="0" applyNumberFormat="1" applyFont="1" applyFill="1" applyBorder="1" applyAlignment="1">
      <x:alignment horizontal="center" vertical="center"/>
    </x:xf>
    <x:xf numFmtId="203" fontId="17" fillId="3" borderId="7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8" xfId="0" applyNumberFormat="1" applyFont="1" applyFill="1" applyBorder="1"/>
    <x:xf numFmtId="0" fontId="18" fillId="6" borderId="9" xfId="0" applyNumberFormat="1" applyFont="1" applyFill="1" applyBorder="1"/>
    <x:xf numFmtId="0" fontId="18" fillId="6" borderId="10" xfId="0" applyNumberFormat="1" applyFont="1" applyFill="1" applyBorder="1"/>
    <x:xf numFmtId="0" fontId="18" fillId="6" borderId="11" xfId="0" applyNumberFormat="1" applyFont="1" applyFill="1" applyBorder="1"/>
    <x:xf numFmtId="0" fontId="18" fillId="6" borderId="12" xfId="0" applyNumberFormat="1" applyFont="1" applyFill="1" applyBorder="1"/>
    <x:xf numFmtId="0" fontId="18" fillId="6" borderId="13" xfId="0" applyNumberFormat="1" applyFont="1" applyFill="1" applyBorder="1"/>
    <x:xf numFmtId="0" fontId="18" fillId="6" borderId="8" xfId="0" applyNumberFormat="1" applyFont="1" applyFill="1" applyBorder="1" applyAlignment="1">
      <x:alignment wrapText="1"/>
    </x:xf>
    <x:xf numFmtId="0" fontId="18" fillId="6" borderId="9" xfId="0" applyNumberFormat="1" applyFont="1" applyFill="1" applyBorder="1" applyAlignment="1">
      <x:alignment wrapText="1"/>
    </x:xf>
    <x:xf numFmtId="0" fontId="18" fillId="6" borderId="10" xfId="0" applyNumberFormat="1" applyFont="1" applyFill="1" applyBorder="1" applyAlignment="1">
      <x:alignment wrapText="1"/>
    </x:xf>
    <x:xf numFmtId="0" fontId="18" fillId="6" borderId="11" xfId="0" applyNumberFormat="1" applyFont="1" applyFill="1" applyBorder="1" applyAlignment="1">
      <x:alignment wrapText="1"/>
    </x:xf>
    <x:xf numFmtId="0" fontId="18" fillId="6" borderId="12" xfId="0" applyNumberFormat="1" applyFont="1" applyFill="1" applyBorder="1" applyAlignment="1">
      <x:alignment wrapText="1"/>
    </x:xf>
    <x:xf numFmtId="0" fontId="18" fillId="6" borderId="13" xfId="0" applyNumberFormat="1" applyFont="1" applyFill="1" applyBorder="1" applyAlignment="1">
      <x:alignment wrapText="1"/>
    </x:xf>
    <x:xf numFmtId="0" fontId="18" fillId="6" borderId="8" xfId="0" applyNumberFormat="1" applyFont="1" applyFill="1" applyBorder="1" applyAlignment="1">
      <x:alignment vertical="center" wrapText="1"/>
    </x:xf>
    <x:xf numFmtId="0" fontId="18" fillId="6" borderId="9" xfId="0" applyNumberFormat="1" applyFont="1" applyFill="1" applyBorder="1" applyAlignment="1">
      <x:alignment vertical="center" wrapText="1"/>
    </x:xf>
    <x:xf numFmtId="0" fontId="18" fillId="6" borderId="10" xfId="0" applyNumberFormat="1" applyFont="1" applyFill="1" applyBorder="1" applyAlignment="1">
      <x:alignment vertical="center" wrapText="1"/>
    </x:xf>
    <x:xf numFmtId="0" fontId="18" fillId="6" borderId="11" xfId="0" applyNumberFormat="1" applyFont="1" applyFill="1" applyBorder="1" applyAlignment="1">
      <x:alignment vertical="center" wrapText="1"/>
    </x:xf>
    <x:xf numFmtId="0" fontId="18" fillId="6" borderId="12" xfId="0" applyNumberFormat="1" applyFont="1" applyFill="1" applyBorder="1" applyAlignment="1">
      <x:alignment vertical="center" wrapText="1"/>
    </x:xf>
    <x:xf numFmtId="0" fontId="18" fillId="6" borderId="13" xfId="0" applyNumberFormat="1" applyFont="1" applyFill="1" applyBorder="1" applyAlignment="1">
      <x:alignment vertical="center" wrapText="1"/>
    </x:xf>
    <x:xf numFmtId="200" fontId="10" fillId="7" borderId="0" xfId="0" applyNumberFormat="1" applyFont="1" applyFill="1" applyBorder="1"/>
    <x:xf numFmtId="0" fontId="19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F7A4D"/>
      </x:font>
      <x:fill>
        <x:patternFill patternType="solid">
          <x:bgColor rgb="FFE7F4E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57affa50c444b" /><Relationship Type="http://schemas.openxmlformats.org/officeDocument/2006/relationships/theme" Target="/xl/theme/theme1.xml" Id="R164e992ac4734760" /><Relationship Type="http://schemas.openxmlformats.org/officeDocument/2006/relationships/sharedStrings" Target="/xl/sharedStrings.xml" Id="R40f3687d87b14c33" /><Relationship Type="http://schemas.openxmlformats.org/officeDocument/2006/relationships/worksheet" Target="/xl/worksheets/sheet1.xml" Id="R4009ad9601d74774" /><Relationship Type="http://schemas.openxmlformats.org/officeDocument/2006/relationships/worksheet" Target="/xl/worksheets/sheet2.xml" Id="R679b0115cbeb4e55" /><Relationship Type="http://schemas.openxmlformats.org/officeDocument/2006/relationships/worksheet" Target="/xl/worksheets/sheet3.xml" Id="R3fcb5144fdc44fc3" /><Relationship Type="http://schemas.openxmlformats.org/officeDocument/2006/relationships/worksheet" Target="/xl/worksheets/sheet4.xml" Id="R039c2eca4dd042e6" /><Relationship Type="http://schemas.openxmlformats.org/officeDocument/2006/relationships/worksheet" Target="/xl/worksheets/sheet5.xml" Id="R4a3d9b88f676453e" /><Relationship Type="http://schemas.openxmlformats.org/officeDocument/2006/relationships/worksheet" Target="/xl/worksheets/sheet6.xml" Id="Rfc0eb8b95688493e" /><Relationship Type="http://schemas.openxmlformats.org/officeDocument/2006/relationships/worksheet" Target="/xl/worksheets/sheet7.xml" Id="R01ce3ceb4b4f4a74" /><Relationship Type="http://schemas.microsoft.com/office/2017/10/relationships/person" Target="/xl/persons/person.xml" Id="R879cd24ee95544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97ad66de8744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Pre-Tax Cash Flow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Annual Cash Flow</c:v>
          </c:tx>
          <c:cat>
            <c:strRef>
              <c:f>'Summary'!$A$25:$A$28</c:f>
              <c:strCache>
                <c:ptCount val="0"/>
              </c:strCache>
            </c:strRef>
          </c:cat>
          <c:val>
            <c:numRef>
              <c:f>'Summary'!$B$25:$B$28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97ad66de87444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Joshua Pereyda" id="{2FEAD497-4014-449D-A1D5-5C74680487D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31T22:49:46.033" personId="{2FEAD497-4014-449D-A1D5-5C74680487DE}" id="{656DCC6E-FBC2-47A0-A4A4-4068D39567FC}">
    <xltc:text>Source: Intermountain MLS listing. https://imls.paragonrels.com/CCR/collablink/7d45e31b-9075-4b76-a0fb-ae4470d87e67/listings/results?&amp;forMlsId=IMLS&amp;sid=KPwuy_aYIKz</xltc:text>
  </xltc:threadedComment>
  <xltc:threadedComment ref="B7" dT="2026-07-31T22:49:46.035" personId="{2FEAD497-4014-449D-A1D5-5C74680487DE}" id="{ACDBC5A2-4FD0-14C4-9106-88E7A286E27C}">
    <xltc:text>Source: Intermountain MLS listing. https://imls.paragonrels.com/CCR/collablink/7d45e31b-9075-4b76-a0fb-ae4470d87e67/listings/results?&amp;forMlsId=IMLS&amp;sid=KPwuy_aYIKz</xltc:text>
  </xltc:threadedComment>
  <xltc:threadedComment ref="B8" dT="2026-07-31T22:49:46.035" personId="{2FEAD497-4014-449D-A1D5-5C74680487DE}" id="{3C2FD899-7B17-56EA-2F7B-7D8D7A1E7000}">
    <xltc:text>Source: Intermountain MLS listing. https://imls.paragonrels.com/CCR/collablink/7d45e31b-9075-4b76-a0fb-ae4470d87e67/listings/results?&amp;forMlsId=IMLS&amp;sid=KPwuy_aYIKz</xltc:text>
  </xltc:threadedComment>
  <xltc:threadedComment ref="B9" dT="2026-07-31T22:49:46.035" personId="{2FEAD497-4014-449D-A1D5-5C74680487DE}" id="{8107D0FF-CB3D-0F65-047F-2B9D06D3365C}">
    <xltc:text>Source: MLS remarks and master rent roll. https://imls.paragonrels.com/ParagonLS/Files/AssociatedDocs/IMLS/7/IMLS_1230797.pdf</xltc:text>
  </xltc:threadedComment>
  <xltc:threadedComment ref="B10" dT="2026-07-31T22:49:46.035" personId="{2FEAD497-4014-449D-A1D5-5C74680487DE}" id="{A7FA60E2-29FF-4918-F101-A3A057CCBE20}">
    <xltc:text>Source: 2025 taxes shown in MLS property details. https://imls.paragonrels.com/CCR/collablink/7d45e31b-9075-4b76-a0fb-ae4470d87e67/listings/results?&amp;forMlsId=IMLS&amp;sid=KPwuy_aYIKz</xltc:text>
  </xltc:threadedComment>
  <xltc:threadedComment ref="H5" dT="2026-07-31T22:49:46.035" personId="{2FEAD497-4014-449D-A1D5-5C74680487DE}" id="{C4378824-9E6A-4882-0B5E-086834FD7CEA}">
    <xltc:text>Source: U.S. Treasury daily par yield curve, 5-year CMT on 2026-07-31. https://home.treasury.gov/resource-center/data-chart-center/interest-rates/TextView?field_tdr_date_value_month=202607&amp;type=daily_treasury_yield_curve</xltc:text>
  </xltc:threadedComment>
  <xltc:threadedComment ref="B16" dT="2026-07-31T22:49:46.035" personId="{2FEAD497-4014-449D-A1D5-5C74680487DE}" id="{74307AF5-5A45-B29E-8AA5-6B1116CAACAB}">
    <xltc:text>Source: Master Rent Roll, total charges $7,345/month as of 2026-01-21. https://imls.paragonrels.com/ParagonLS/Files/AssociatedDocs/IMLS/7/IMLS_1230797.pdf</xltc:text>
  </xltc:threadedComment>
  <xltc:threadedComment ref="B20" dT="2026-07-31T22:49:46.035" personId="{2FEAD497-4014-449D-A1D5-5C74680487DE}" id="{34FFA0CA-7785-E513-A69C-857197DBC4A7}">
    <xltc:text>Source: Master Rent Roll dated 2026-01-21. https://imls.paragonrels.com/ParagonLS/Files/AssociatedDocs/IMLS/7/IMLS_1230797.pdf</xltc:text>
  </xltc:threadedComment>
  <xltc:threadedComment ref="B21" dT="2026-07-31T22:49:46.035" personId="{2FEAD497-4014-449D-A1D5-5C74680487DE}" id="{319F5945-3C11-B96A-DB38-DA6BC49E765B}">
    <xltc:text>Source: Master Rent Roll dated 2026-01-21. https://imls.paragonrels.com/ParagonLS/Files/AssociatedDocs/IMLS/7/IMLS_1230797.pdf</xltc:text>
  </xltc:threadedComment>
  <xltc:threadedComment ref="B22" dT="2026-07-31T22:49:46.035" personId="{2FEAD497-4014-449D-A1D5-5C74680487DE}" id="{D3FF451B-6AC2-DA8C-2376-7C6651B7E8DC}">
    <xltc:text>Source: Master Rent Roll dated 2026-01-21. https://imls.paragonrels.com/ParagonLS/Files/AssociatedDocs/IMLS/7/IMLS_1230797.pdf</xltc:text>
  </xltc:threadedComment>
  <xltc:threadedComment ref="B23" dT="2026-07-31T22:49:46.035" personId="{2FEAD497-4014-449D-A1D5-5C74680487DE}" id="{7207AB8C-2391-1B4D-8CD6-3B3372EE8A23}">
    <xltc:text>Source: Master Rent Roll dated 2026-01-21. https://imls.paragonrels.com/ParagonLS/Files/AssociatedDocs/IMLS/7/IMLS_1230797.pdf</xltc:text>
  </xltc:threadedComment>
  <xltc:threadedComment ref="B24" dT="2026-07-31T22:49:46.035" personId="{2FEAD497-4014-449D-A1D5-5C74680487DE}" id="{D0720A52-AFE1-2FC0-B328-77413F7D3731}">
    <xltc:text>Source: Master Rent Roll dated 2026-01-21. https://imls.paragonrels.com/ParagonLS/Files/AssociatedDocs/IMLS/7/IMLS_1230797.pdf</xltc:text>
  </xltc:threadedComment>
  <xltc:threadedComment ref="B25" dT="2026-07-31T22:49:46.035" personId="{2FEAD497-4014-449D-A1D5-5C74680487DE}" id="{B4D78991-6A4B-1C64-C879-D9997B96095A}">
    <xltc:text>Source: Master Rent Roll dated 2026-01-21. https://imls.paragonrels.com/ParagonLS/Files/AssociatedDocs/IMLS/7/IMLS_1230797.pdf</xltc:text>
  </xltc:threadedComment>
  <xltc:threadedComment ref="B26" dT="2026-07-31T22:49:46.035" personId="{2FEAD497-4014-449D-A1D5-5C74680487DE}" id="{E1430A43-2D03-D5AF-B492-8CAA70E253FB}">
    <xltc:text>Source: Master Rent Roll dated 2026-01-21. https://imls.paragonrels.com/ParagonLS/Files/AssociatedDocs/IMLS/7/IMLS_1230797.pdf</xltc:text>
  </xltc:threadedComment>
  <xltc:threadedComment ref="B27" dT="2026-07-31T22:49:46.035" personId="{2FEAD497-4014-449D-A1D5-5C74680487DE}" id="{8135D9FB-129D-658A-CD44-2D26182B22C1}">
    <xltc:text>Source: Master Rent Roll dated 2026-01-21. https://imls.paragonrels.com/ParagonLS/Files/AssociatedDocs/IMLS/7/IMLS_1230797.pdf</xltc:text>
  </xltc:threadedComment>
  <xltc:threadedComment ref="B28" dT="2026-07-31T22:49:46.035" personId="{2FEAD497-4014-449D-A1D5-5C74680487DE}" id="{465088E6-225A-32FB-D5BC-DAFB76130A48}">
    <xltc:text>Source: Master Rent Roll dated 2026-01-21. https://imls.paragonrels.com/ParagonLS/Files/AssociatedDocs/IMLS/7/IMLS_1230797.pdf</xltc:text>
  </xltc:threadedComment>
  <xltc:threadedComment ref="B29" dT="2026-07-31T22:49:46.035" personId="{2FEAD497-4014-449D-A1D5-5C74680487DE}" id="{6CBE3458-B8C5-626E-A129-9D418A214128}">
    <xltc:text>Source: Master Rent Roll dated 2026-01-21. https://imls.paragonrels.com/ParagonLS/Files/AssociatedDocs/IMLS/7/IMLS_1230797.pdf</xltc:text>
  </xltc:threadedComment>
  <xltc:threadedComment ref="E7" dT="2026-07-31T22:49:46.035" personId="{2FEAD497-4014-449D-A1D5-5C74680487DE}" id="{5EE25FF3-B7D6-AE32-C976-B1A7DD359DB4}">
    <xltc:text>Analyst estimate. Obtain a bindable insurance quote before relying on this underwriting.</xltc:text>
  </xltc:threadedComment>
  <xltc:threadedComment ref="B11" dT="2026-07-31T22:49:46.035" personId="{2FEAD497-4014-449D-A1D5-5C74680487DE}" id="{6E892B1E-4127-D2EA-40D7-4AD8620A8623}">
    <xltc:text>Analyst valuation assumption. Sensitivity table shows 6.00%-7.50%; verify against local multifamily sales and an appraisal.</xltc:text>
  </xltc:threadedComment>
  <xltc:threadedComment ref="E13" dT="2026-07-31T22:49:46.035" personId="{2FEAD497-4014-449D-A1D5-5C74680487DE}" id="{FD88E619-519F-4CA8-1733-539B10818F2B}">
    <xltc:text>User-requested pro forma rent assumption. Verify with current Moscow, Idaho rent comps and lease-up costs.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15381fd82640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ade031d5f534949" /><Relationship Type="http://schemas.openxmlformats.org/officeDocument/2006/relationships/vmlDrawing" Target="/xl/drawings/vmldrawing.vml" Id="R60b1b09b28a14859" /><Relationship Type="http://schemas.microsoft.com/office/2017/10/relationships/threadedComment" Target="/xl/threadedcomments/threadedcomment.xml" Id="R065c87dae06641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18" hidden="0" customWidth="1"/>
    <x:col min="9" max="9" width="15" hidden="0" customWidth="1"/>
    <x:col min="10" max="10" width="15" hidden="0" customWidth="1"/>
  </x:cols>
  <x:sheetData>
    <x:row r="1" ht="30" customHeight="1">
      <x:c r="A1" s="5" t="str">
        <x:v>904 Vandal Drive - Acquisition Underwriting</x:v>
      </x:c>
      <x:c r="B1" s="5" t="str">
        <x:v>904 Vandal Drive - Acquisition Underwriting</x:v>
      </x:c>
      <x:c r="C1" s="5" t="str">
        <x:v>904 Vandal Drive - Acquisition Underwriting</x:v>
      </x:c>
      <x:c r="D1" s="5" t="str">
        <x:v>904 Vandal Drive - Acquisition Underwriting</x:v>
      </x:c>
      <x:c r="E1" s="5" t="str">
        <x:v>904 Vandal Drive - Acquisition Underwriting</x:v>
      </x:c>
      <x:c r="F1" s="5" t="str">
        <x:v>904 Vandal Drive - Acquisition Underwriting</x:v>
      </x:c>
      <x:c r="G1" s="5" t="str">
        <x:v>904 Vandal Drive - Acquisition Underwriting</x:v>
      </x:c>
      <x:c r="H1" s="5" t="str">
        <x:v>904 Vandal Drive - Acquisition Underwriting</x:v>
      </x:c>
      <x:c r="I1" s="5" t="str">
        <x:v>904 Vandal Drive - Acquisition Underwriting</x:v>
      </x:c>
      <x:c r="J1" s="5" t="str">
        <x:v>904 Vandal Drive - Acquisition Underwriting</x:v>
      </x:c>
    </x:row>
    <x:row r="2" ht="30" customHeight="1">
      <x:c r="A2" s="8" t="str">
        <x:v>8 apartments + 2 garage/shop rentals | Asking $1,300,000 | Current rent roll as of 01/21/2026 | Financing as of 07/31/2026</x:v>
      </x:c>
      <x:c r="B2" s="8" t="str">
        <x:v>8 apartments + 2 garage/shop rentals | Asking $1,300,000 | Current rent roll as of 01/21/2026 | Financing as of 07/31/2026</x:v>
      </x:c>
      <x:c r="C2" s="8" t="str">
        <x:v>8 apartments + 2 garage/shop rentals | Asking $1,300,000 | Current rent roll as of 01/21/2026 | Financing as of 07/31/2026</x:v>
      </x:c>
      <x:c r="D2" s="8" t="str">
        <x:v>8 apartments + 2 garage/shop rentals | Asking $1,300,000 | Current rent roll as of 01/21/2026 | Financing as of 07/31/2026</x:v>
      </x:c>
      <x:c r="E2" s="8" t="str">
        <x:v>8 apartments + 2 garage/shop rentals | Asking $1,300,000 | Current rent roll as of 01/21/2026 | Financing as of 07/31/2026</x:v>
      </x:c>
      <x:c r="F2" s="8" t="str">
        <x:v>8 apartments + 2 garage/shop rentals | Asking $1,300,000 | Current rent roll as of 01/21/2026 | Financing as of 07/31/2026</x:v>
      </x:c>
      <x:c r="G2" s="8" t="str">
        <x:v>8 apartments + 2 garage/shop rentals | Asking $1,300,000 | Current rent roll as of 01/21/2026 | Financing as of 07/31/2026</x:v>
      </x:c>
      <x:c r="H2" s="8" t="str">
        <x:v>8 apartments + 2 garage/shop rentals | Asking $1,300,000 | Current rent roll as of 01/21/2026 | Financing as of 07/31/2026</x:v>
      </x:c>
      <x:c r="I2" s="8" t="str">
        <x:v>8 apartments + 2 garage/shop rentals | Asking $1,300,000 | Current rent roll as of 01/21/2026 | Financing as of 07/31/2026</x:v>
      </x:c>
      <x:c r="J2" s="8" t="str">
        <x:v>8 apartments + 2 garage/shop rentals | Asking $1,300,000 | Current rent roll as of 01/21/2026 | Financing as of 07/31/2026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69" t="str">
        <x:v>As-Is Cash Flow @ Ask</x:v>
      </x:c>
      <x:c r="B4" s="69" t="str">
        <x:v>As-Is Cash Flow @ Ask</x:v>
      </x:c>
      <x:c r="C4" s="69" t="str">
        <x:v>Pro Forma Cash Flow @ Ask</x:v>
      </x:c>
      <x:c r="D4" s="69" t="str">
        <x:v>Pro Forma Cash Flow @ Ask</x:v>
      </x:c>
      <x:c r="E4" s="69" t="str">
        <x:v>As-Is Break-Even Price</x:v>
      </x:c>
      <x:c r="F4" s="69" t="str">
        <x:v>As-Is Break-Even Price</x:v>
      </x:c>
      <x:c r="G4" s="69" t="str">
        <x:v>Pro Forma Value @ 6.75%</x:v>
      </x:c>
      <x:c r="H4" s="69" t="str">
        <x:v>Pro Forma Value @ 6.75%</x:v>
      </x:c>
      <x:c r="I4" s="69" t="str">
        <x:v>All-In Interest Rate</x:v>
      </x:c>
      <x:c r="J4" s="69" t="str">
        <x:v>All-In Interest Rate</x:v>
      </x:c>
    </x:row>
    <x:row r="5" ht="24" customHeight="1">
      <x:c r="A5" s="84" t="n">
        <x:f>'Underwriting'!B40</x:f>
        <x:v>-37888.69253575766</x:v>
      </x:c>
      <x:c r="B5" s="85"/>
      <x:c r="C5" s="101" t="n">
        <x:f>'Underwriting'!C40</x:f>
        <x:v>-1417.8125357576646</x:v>
      </x:c>
      <x:c r="D5" s="102"/>
      <x:c r="E5" s="118" t="n">
        <x:f>'Underwriting'!H6</x:f>
        <x:v>701663.1515870898</x:v>
      </x:c>
      <x:c r="F5" s="119"/>
      <x:c r="G5" s="135" t="n">
        <x:f>'Underwriting'!C45</x:f>
        <x:v>1198556.148148148</x:v>
      </x:c>
      <x:c r="H5" s="136"/>
      <x:c r="I5" s="152" t="n">
        <x:f>'Assumptions'!H7</x:f>
        <x:v>0.0695</x:v>
      </x:c>
      <x:c r="J5" s="153"/>
    </x:row>
    <x:row r="6" ht="24" customHeight="1">
      <x:c r="A6" s="86"/>
      <x:c r="B6" s="87"/>
      <x:c r="C6" s="103"/>
      <x:c r="D6" s="104"/>
      <x:c r="E6" s="120"/>
      <x:c r="F6" s="121"/>
      <x:c r="G6" s="137"/>
      <x:c r="H6" s="138"/>
      <x:c r="I6" s="154"/>
      <x:c r="J6" s="155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69" t="str">
        <x:v>Bottom line: at the asking price, normalized as-is cash flow is materially negative and the $1,300/unit pro forma is approximately cash-flow neutral. Price discipline matters more than the rent-growth story.</x:v>
      </x:c>
      <x:c r="B8" s="170" t="str">
        <x:v>Bottom line: at the asking price, normalized as-is cash flow is materially negative and the $1,300/unit pro forma is approximately cash-flow neutral. Price discipline matters more than the rent-growth story.</x:v>
      </x:c>
      <x:c r="C8" s="170" t="str">
        <x:v>Bottom line: at the asking price, normalized as-is cash flow is materially negative and the $1,300/unit pro forma is approximately cash-flow neutral. Price discipline matters more than the rent-growth story.</x:v>
      </x:c>
      <x:c r="D8" s="170" t="str">
        <x:v>Bottom line: at the asking price, normalized as-is cash flow is materially negative and the $1,300/unit pro forma is approximately cash-flow neutral. Price discipline matters more than the rent-growth story.</x:v>
      </x:c>
      <x:c r="E8" s="170" t="str">
        <x:v>Bottom line: at the asking price, normalized as-is cash flow is materially negative and the $1,300/unit pro forma is approximately cash-flow neutral. Price discipline matters more than the rent-growth story.</x:v>
      </x:c>
      <x:c r="F8" s="170" t="str">
        <x:v>Bottom line: at the asking price, normalized as-is cash flow is materially negative and the $1,300/unit pro forma is approximately cash-flow neutral. Price discipline matters more than the rent-growth story.</x:v>
      </x:c>
      <x:c r="G8" s="170" t="str">
        <x:v>Bottom line: at the asking price, normalized as-is cash flow is materially negative and the $1,300/unit pro forma is approximately cash-flow neutral. Price discipline matters more than the rent-growth story.</x:v>
      </x:c>
      <x:c r="H8" s="170" t="str">
        <x:v>Bottom line: at the asking price, normalized as-is cash flow is materially negative and the $1,300/unit pro forma is approximately cash-flow neutral. Price discipline matters more than the rent-growth story.</x:v>
      </x:c>
      <x:c r="I8" s="170" t="str">
        <x:v>Bottom line: at the asking price, normalized as-is cash flow is materially negative and the $1,300/unit pro forma is approximately cash-flow neutral. Price discipline matters more than the rent-growth story.</x:v>
      </x:c>
      <x:c r="J8" s="171" t="str">
        <x:v>Bottom line: at the asking price, normalized as-is cash flow is materially negative and the $1,300/unit pro forma is approximately cash-flow neutral. Price discipline matters more than the rent-growth story.</x:v>
      </x:c>
    </x:row>
    <x:row r="9">
      <x:c r="A9" s="172" t="str">
        <x:v>Bottom line: at the asking price, normalized as-is cash flow is materially negative and the $1,300/unit pro forma is approximately cash-flow neutral. Price discipline matters more than the rent-growth story.</x:v>
      </x:c>
      <x:c r="B9" s="173" t="str">
        <x:v>Bottom line: at the asking price, normalized as-is cash flow is materially negative and the $1,300/unit pro forma is approximately cash-flow neutral. Price discipline matters more than the rent-growth story.</x:v>
      </x:c>
      <x:c r="C9" s="173" t="str">
        <x:v>Bottom line: at the asking price, normalized as-is cash flow is materially negative and the $1,300/unit pro forma is approximately cash-flow neutral. Price discipline matters more than the rent-growth story.</x:v>
      </x:c>
      <x:c r="D9" s="173" t="str">
        <x:v>Bottom line: at the asking price, normalized as-is cash flow is materially negative and the $1,300/unit pro forma is approximately cash-flow neutral. Price discipline matters more than the rent-growth story.</x:v>
      </x:c>
      <x:c r="E9" s="173" t="str">
        <x:v>Bottom line: at the asking price, normalized as-is cash flow is materially negative and the $1,300/unit pro forma is approximately cash-flow neutral. Price discipline matters more than the rent-growth story.</x:v>
      </x:c>
      <x:c r="F9" s="173" t="str">
        <x:v>Bottom line: at the asking price, normalized as-is cash flow is materially negative and the $1,300/unit pro forma is approximately cash-flow neutral. Price discipline matters more than the rent-growth story.</x:v>
      </x:c>
      <x:c r="G9" s="173" t="str">
        <x:v>Bottom line: at the asking price, normalized as-is cash flow is materially negative and the $1,300/unit pro forma is approximately cash-flow neutral. Price discipline matters more than the rent-growth story.</x:v>
      </x:c>
      <x:c r="H9" s="173" t="str">
        <x:v>Bottom line: at the asking price, normalized as-is cash flow is materially negative and the $1,300/unit pro forma is approximately cash-flow neutral. Price discipline matters more than the rent-growth story.</x:v>
      </x:c>
      <x:c r="I9" s="173" t="str">
        <x:v>Bottom line: at the asking price, normalized as-is cash flow is materially negative and the $1,300/unit pro forma is approximately cash-flow neutral. Price discipline matters more than the rent-growth story.</x:v>
      </x:c>
      <x:c r="J9" s="174" t="str">
        <x:v>Bottom line: at the asking price, normalized as-is cash flow is materially negative and the $1,300/unit pro forma is approximately cash-flow neutral. Price discipline matters more than the rent-growth story.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0" customHeight="1">
      <x:c r="A11" s="11" t="str">
        <x:v>Scenario Comparison</x:v>
      </x:c>
      <x:c r="B11" s="11" t="str">
        <x:v>Scenario Comparison</x:v>
      </x:c>
      <x:c r="C11" s="11" t="str">
        <x:v>Scenario Comparison</x:v>
      </x:c>
      <x:c r="D11" s="11" t="str">
        <x:v>Scenario Comparison</x:v>
      </x:c>
      <x:c r="E11" s="11" t="str">
        <x:v>Scenario Comparison</x:v>
      </x:c>
      <x:c r="F11" s="1"/>
      <x:c r="G11" s="11" t="str">
        <x:v>Value Creation</x:v>
      </x:c>
      <x:c r="H11" s="11" t="str">
        <x:v>Value Creation</x:v>
      </x:c>
      <x:c r="I11" s="11" t="str">
        <x:v>Value Creation</x:v>
      </x:c>
      <x:c r="J11" s="11" t="str">
        <x:v>Value Creation</x:v>
      </x:c>
    </x:row>
    <x:row r="12">
      <x:c r="A12" s="29" t="str">
        <x:v>Metric</x:v>
      </x:c>
      <x:c r="B12" s="29" t="str">
        <x:v>As-Is @ Ask</x:v>
      </x:c>
      <x:c r="C12" s="29" t="str">
        <x:v>Pro Forma @ Ask</x:v>
      </x:c>
      <x:c r="D12" s="29" t="str">
        <x:v>As-Is @ Break-Even</x:v>
      </x:c>
      <x:c r="E12" s="29" t="str">
        <x:v>Pro Forma @ Break-Even</x:v>
      </x:c>
      <x:c r="F12" s="1"/>
      <x:c r="G12" s="29" t="str">
        <x:v>Metric</x:v>
      </x:c>
      <x:c r="H12" s="29" t="str">
        <x:v>Value</x:v>
      </x:c>
      <x:c r="I12" s="1"/>
      <x:c r="J12" s="1"/>
    </x:row>
    <x:row r="13">
      <x:c r="A13" s="1" t="str">
        <x:v>Purchase price</x:v>
      </x:c>
      <x:c r="B13" s="42" t="n">
        <x:f>'Underwriting'!B6</x:f>
        <x:v>1300000</x:v>
      </x:c>
      <x:c r="C13" s="42" t="n">
        <x:f>'Underwriting'!C6</x:f>
        <x:v>1300000</x:v>
      </x:c>
      <x:c r="D13" s="42" t="n">
        <x:f>'Underwriting'!D6</x:f>
        <x:v>701663.1515870898</x:v>
      </x:c>
      <x:c r="E13" s="42" t="n">
        <x:f>'Underwriting'!E6</x:f>
        <x:v>701663.1515870898</x:v>
      </x:c>
      <x:c r="F13" s="1"/>
      <x:c r="G13" s="1" t="str">
        <x:v>As-is normalized value</x:v>
      </x:c>
      <x:c r="H13" s="42" t="n">
        <x:f>'Underwriting'!B45</x:f>
        <x:v>658246.8148148147</x:v>
      </x:c>
      <x:c r="I13" s="1"/>
      <x:c r="J13" s="1"/>
    </x:row>
    <x:row r="14">
      <x:c r="A14" s="1" t="str">
        <x:v>Total initial cash</x:v>
      </x:c>
      <x:c r="B14" s="42" t="n">
        <x:f>'Underwriting'!B11</x:f>
        <x:v>351000</x:v>
      </x:c>
      <x:c r="C14" s="42" t="n">
        <x:f>'Underwriting'!C11</x:f>
        <x:v>351000</x:v>
      </x:c>
      <x:c r="D14" s="42" t="n">
        <x:f>'Underwriting'!D11</x:f>
        <x:v>189449.05092851425</x:v>
      </x:c>
      <x:c r="E14" s="42" t="n">
        <x:f>'Underwriting'!E11</x:f>
        <x:v>189449.05092851425</x:v>
      </x:c>
      <x:c r="F14" s="1"/>
      <x:c r="G14" s="1" t="str">
        <x:v>Pro forma normalized value</x:v>
      </x:c>
      <x:c r="H14" s="42" t="n">
        <x:f>'Underwriting'!C45</x:f>
        <x:v>1198556.148148148</x:v>
      </x:c>
      <x:c r="I14" s="1"/>
      <x:c r="J14" s="1"/>
    </x:row>
    <x:row r="15">
      <x:c r="A15" s="1" t="str">
        <x:v>NOI</x:v>
      </x:c>
      <x:c r="B15" s="42" t="n">
        <x:f>'Underwriting'!B37</x:f>
        <x:v>44431.659999999996</x:v>
      </x:c>
      <x:c r="C15" s="42" t="n">
        <x:f>'Underwriting'!C37</x:f>
        <x:v>80902.54</x:v>
      </x:c>
      <x:c r="D15" s="42" t="n">
        <x:f>'Underwriting'!D37</x:f>
        <x:v>44431.659999999996</x:v>
      </x:c>
      <x:c r="E15" s="42" t="n">
        <x:f>'Underwriting'!E37</x:f>
        <x:v>80902.54</x:v>
      </x:c>
      <x:c r="F15" s="1"/>
      <x:c r="G15" s="53" t="str">
        <x:v>Operational value added</x:v>
      </x:c>
      <x:c r="H15" s="175" t="n">
        <x:f>'Underwriting'!C48</x:f>
        <x:v>540309.3333333334</x:v>
      </x:c>
      <x:c r="I15" s="1"/>
      <x:c r="J15" s="1"/>
    </x:row>
    <x:row r="16">
      <x:c r="A16" s="1" t="str">
        <x:v>Annual debt service</x:v>
      </x:c>
      <x:c r="B16" s="42" t="n">
        <x:f>'Underwriting'!B16</x:f>
        <x:v>82320.35253575766</x:v>
      </x:c>
      <x:c r="C16" s="42" t="n">
        <x:f>'Underwriting'!C16</x:f>
        <x:v>82320.35253575766</x:v>
      </x:c>
      <x:c r="D16" s="42" t="n">
        <x:f>'Underwriting'!D16</x:f>
        <x:v>44431.66</x:v>
      </x:c>
      <x:c r="E16" s="42" t="n">
        <x:f>'Underwriting'!E16</x:f>
        <x:v>44431.66</x:v>
      </x:c>
      <x:c r="F16" s="1"/>
      <x:c r="G16" s="1" t="str">
        <x:v>Pro forma value less asking price</x:v>
      </x:c>
      <x:c r="H16" s="42" t="n">
        <x:f>'Underwriting'!C46</x:f>
        <x:v>-101443.85185185191</x:v>
      </x:c>
      <x:c r="I16" s="1"/>
      <x:c r="J16" s="1"/>
    </x:row>
    <x:row r="17">
      <x:c r="A17" s="51" t="str">
        <x:v>Annual cash flow</x:v>
      </x:c>
      <x:c r="B17" s="52" t="n">
        <x:f>'Underwriting'!B40</x:f>
        <x:v>-37888.69253575766</x:v>
      </x:c>
      <x:c r="C17" s="52" t="n">
        <x:f>'Underwriting'!C40</x:f>
        <x:v>-1417.8125357576646</x:v>
      </x:c>
      <x:c r="D17" s="52" t="n">
        <x:f>'Underwriting'!D40</x:f>
        <x:v>-7.275957614183426e-12</x:v>
      </x:c>
      <x:c r="E17" s="52" t="n">
        <x:f>'Underwriting'!E40</x:f>
        <x:v>36470.87999999999</x:v>
      </x:c>
      <x:c r="F17" s="1"/>
      <x:c r="G17" s="1" t="str">
        <x:v>Pro forma value less break-even price</x:v>
      </x:c>
      <x:c r="H17" s="42" t="n">
        <x:f>'Underwriting'!E46</x:f>
        <x:v>496892.99656105833</x:v>
      </x:c>
      <x:c r="I17" s="1"/>
      <x:c r="J17" s="1"/>
    </x:row>
    <x:row r="18">
      <x:c r="A18" s="1" t="str">
        <x:v>DSCR</x:v>
      </x:c>
      <x:c r="B18" s="49" t="n">
        <x:f>'Underwriting'!B39</x:f>
        <x:v>0.5397408858362229</x:v>
      </x:c>
      <x:c r="C18" s="49" t="n">
        <x:f>'Underwriting'!C39</x:f>
        <x:v>0.9827768894072483</x:v>
      </x:c>
      <x:c r="D18" s="49" t="n">
        <x:f>'Underwriting'!D39</x:f>
        <x:v>0.9999999999999999</x:v>
      </x:c>
      <x:c r="E18" s="49" t="n">
        <x:f>'Underwriting'!E39</x:f>
        <x:v>1.82083091201184</x:v>
      </x:c>
      <x:c r="F18" s="1"/>
      <x:c r="G18" s="1" t="str">
        <x:v>Pro forma cash flow @ break-even price</x:v>
      </x:c>
      <x:c r="H18" s="42" t="n">
        <x:f>'Underwriting'!E40</x:f>
        <x:v>36470.87999999999</x:v>
      </x:c>
      <x:c r="I18" s="1"/>
      <x:c r="J18" s="1"/>
    </x:row>
    <x:row r="19">
      <x:c r="A19" s="1" t="str">
        <x:v>Cash-on-cash</x:v>
      </x:c>
      <x:c r="B19" s="43" t="n">
        <x:f>'Underwriting'!B42</x:f>
        <x:v>-0.10794499297936656</x:v>
      </x:c>
      <x:c r="C19" s="43" t="n">
        <x:f>'Underwriting'!C42</x:f>
        <x:v>-0.0040393519537255404</x:v>
      </x:c>
      <x:c r="D19" s="43" t="n">
        <x:f>'Underwriting'!D42</x:f>
        <x:v>-3.840588051786493e-17</x:v>
      </x:c>
      <x:c r="E19" s="43" t="n">
        <x:f>'Underwriting'!E42</x:f>
        <x:v>0.19251022806000612</x:v>
      </x:c>
      <x:c r="F19" s="1"/>
      <x:c r="G19" s="1"/>
      <x:c r="H19" s="1"/>
      <x:c r="I19" s="1"/>
      <x:c r="J19" s="1"/>
    </x:row>
    <x:row r="20">
      <x:c r="A20" s="1" t="str">
        <x:v>Value @ 6.75% cap</x:v>
      </x:c>
      <x:c r="B20" s="42" t="n">
        <x:f>'Underwriting'!B45</x:f>
        <x:v>658246.8148148147</x:v>
      </x:c>
      <x:c r="C20" s="42" t="n">
        <x:f>'Underwriting'!C45</x:f>
        <x:v>1198556.148148148</x:v>
      </x:c>
      <x:c r="D20" s="42" t="n">
        <x:f>'Underwriting'!D45</x:f>
        <x:v>658246.8148148147</x:v>
      </x:c>
      <x:c r="E20" s="42" t="n">
        <x:f>'Underwriting'!E45</x:f>
        <x:v>1198556.148148148</x:v>
      </x:c>
      <x:c r="F20" s="1"/>
      <x:c r="G20" s="1"/>
      <x:c r="H20" s="1"/>
      <x:c r="I20" s="1"/>
      <x:c r="J20" s="1"/>
    </x:row>
    <x:row r="21">
      <x:c r="A21" s="1" t="str">
        <x:v>Value less purchase price</x:v>
      </x:c>
      <x:c r="B21" s="42" t="n">
        <x:f>'Underwriting'!B46</x:f>
        <x:v>-641753.1851851853</x:v>
      </x:c>
      <x:c r="C21" s="42" t="n">
        <x:f>'Underwriting'!C46</x:f>
        <x:v>-101443.85185185191</x:v>
      </x:c>
      <x:c r="D21" s="42" t="n">
        <x:f>'Underwriting'!D46</x:f>
        <x:v>-43416.33677227504</x:v>
      </x:c>
      <x:c r="E21" s="42" t="n">
        <x:f>'Underwriting'!E46</x:f>
        <x:v>496892.99656105833</x:v>
      </x:c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0" customHeight="1">
      <x:c r="A23" s="11" t="str">
        <x:v>Cash Flow Comparison</x:v>
      </x:c>
      <x:c r="B23" s="11" t="str">
        <x:v>Cash Flow Comparison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29" t="str">
        <x:v>Scenario</x:v>
      </x:c>
      <x:c r="B24" s="29" t="str">
        <x:v>Annual Cash Flow</x:v>
      </x:c>
      <x:c r="C24" s="1"/>
      <x:c r="D24" s="1"/>
      <x:c r="E24" s="1"/>
      <x:c r="F24" s="1"/>
      <x:c r="G24" s="1"/>
      <x:c r="H24" s="1"/>
      <x:c r="I24" s="1"/>
      <x:c r="J24" s="1"/>
    </x:row>
    <x:row r="25">
      <x:c r="A25" s="1" t="str">
        <x:v>As-Is @ Ask</x:v>
      </x:c>
      <x:c r="B25" s="42" t="n">
        <x:f>'Underwriting'!B40</x:f>
        <x:v>-37888.69253575766</x:v>
      </x:c>
      <x:c r="C25" s="1"/>
      <x:c r="D25" s="1"/>
      <x:c r="E25" s="1"/>
      <x:c r="F25" s="1"/>
      <x:c r="G25" s="1"/>
      <x:c r="H25" s="1"/>
      <x:c r="I25" s="1"/>
      <x:c r="J25" s="1"/>
    </x:row>
    <x:row r="26">
      <x:c r="A26" s="1" t="str">
        <x:v>Pro Forma @ Ask</x:v>
      </x:c>
      <x:c r="B26" s="42" t="n">
        <x:f>'Underwriting'!C40</x:f>
        <x:v>-1417.8125357576646</x:v>
      </x:c>
      <x:c r="C26" s="1"/>
      <x:c r="D26" s="1"/>
      <x:c r="E26" s="1"/>
      <x:c r="F26" s="1"/>
      <x:c r="G26" s="1"/>
      <x:c r="H26" s="1"/>
      <x:c r="I26" s="1"/>
      <x:c r="J26" s="1"/>
    </x:row>
    <x:row r="27">
      <x:c r="A27" s="1" t="str">
        <x:v>As-Is @ Break-Even</x:v>
      </x:c>
      <x:c r="B27" s="42" t="n">
        <x:f>'Underwriting'!D40</x:f>
        <x:v>-7.275957614183426e-12</x:v>
      </x:c>
      <x:c r="C27" s="1"/>
      <x:c r="D27" s="1"/>
      <x:c r="E27" s="1"/>
      <x:c r="F27" s="1"/>
      <x:c r="G27" s="1"/>
      <x:c r="H27" s="1"/>
      <x:c r="I27" s="1"/>
      <x:c r="J27" s="1"/>
    </x:row>
    <x:row r="28">
      <x:c r="A28" s="1" t="str">
        <x:v>Pro Forma @ Break-Even</x:v>
      </x:c>
      <x:c r="B28" s="42" t="n">
        <x:f>'Underwriting'!E40</x:f>
        <x:v>36470.87999999999</x:v>
      </x:c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0" customHeight="1">
      <x:c r="A40" s="11" t="str">
        <x:v>Key Risks &amp; Next Diligence</x:v>
      </x:c>
      <x:c r="B40" s="11" t="str">
        <x:v>Key Risks &amp; Next Diligence</x:v>
      </x:c>
      <x:c r="C40" s="11" t="str">
        <x:v>Key Risks &amp; Next Diligence</x:v>
      </x:c>
      <x:c r="D40" s="11" t="str">
        <x:v>Key Risks &amp; Next Diligence</x:v>
      </x:c>
      <x:c r="E40" s="11" t="str">
        <x:v>Key Risks &amp; Next Diligence</x:v>
      </x:c>
      <x:c r="F40" s="11" t="str">
        <x:v>Key Risks &amp; Next Diligence</x:v>
      </x:c>
      <x:c r="G40" s="11" t="str">
        <x:v>Key Risks &amp; Next Diligence</x:v>
      </x:c>
      <x:c r="H40" s="11" t="str">
        <x:v>Key Risks &amp; Next Diligence</x:v>
      </x:c>
      <x:c r="I40" s="11" t="str">
        <x:v>Key Risks &amp; Next Diligence</x:v>
      </x:c>
      <x:c r="J40" s="11" t="str">
        <x:v>Key Risks &amp; Next Diligence</x:v>
      </x:c>
    </x:row>
    <x:row r="41" ht="34" customHeight="1">
      <x:c r="A41" s="176" t="str">
        <x:v>1</x:v>
      </x:c>
      <x:c r="B41" s="61" t="str">
        <x:v>Insurance is an estimate</x:v>
      </x:c>
      <x:c r="C41" s="60" t="str">
        <x:v>Obtain a bindable quote; the seller statements do not show insurance.</x:v>
      </x:c>
      <x:c r="D41" s="60"/>
      <x:c r="E41" s="60"/>
      <x:c r="F41" s="60"/>
      <x:c r="G41" s="60"/>
      <x:c r="H41" s="60"/>
      <x:c r="I41" s="60"/>
      <x:c r="J41" s="60"/>
    </x:row>
    <x:row r="42" ht="34" customHeight="1">
      <x:c r="A42" s="176" t="str">
        <x:v>2</x:v>
      </x:c>
      <x:c r="B42" s="61" t="str">
        <x:v>Taxes may change</x:v>
      </x:c>
      <x:c r="C42" s="60" t="str">
        <x:v>Confirm 2026 assessment and post-sale property tax treatment.</x:v>
      </x:c>
      <x:c r="D42" s="60"/>
      <x:c r="E42" s="60"/>
      <x:c r="F42" s="60"/>
      <x:c r="G42" s="60"/>
      <x:c r="H42" s="60"/>
      <x:c r="I42" s="60"/>
      <x:c r="J42" s="60"/>
    </x:row>
    <x:row r="43" ht="34" customHeight="1">
      <x:c r="A43" s="176" t="str">
        <x:v>3</x:v>
      </x:c>
      <x:c r="B43" s="61" t="str">
        <x:v>Market rent is unverified</x:v>
      </x:c>
      <x:c r="C43" s="60" t="str">
        <x:v>Validate $1,300/unit with signed leases or current local comps; most leases expire May-July 2026.</x:v>
      </x:c>
      <x:c r="D43" s="60"/>
      <x:c r="E43" s="60"/>
      <x:c r="F43" s="60"/>
      <x:c r="G43" s="60"/>
      <x:c r="H43" s="60"/>
      <x:c r="I43" s="60"/>
      <x:c r="J43" s="60"/>
    </x:row>
    <x:row r="44" ht="34" customHeight="1">
      <x:c r="A44" s="176" t="str">
        <x:v>4</x:v>
      </x:c>
      <x:c r="B44" s="61" t="str">
        <x:v>Aging components</x:v>
      </x:c>
      <x:c r="C44" s="60" t="str">
        <x:v>Age is listed as 21-30 years. Inspect roofs, slab, plumbing, electric wall heat, windows, and appliances.</x:v>
      </x:c>
      <x:c r="D44" s="60"/>
      <x:c r="E44" s="60"/>
      <x:c r="F44" s="60"/>
      <x:c r="G44" s="60"/>
      <x:c r="H44" s="60"/>
      <x:c r="I44" s="60"/>
      <x:c r="J44" s="60"/>
    </x:row>
    <x:row r="45" ht="34" customHeight="1">
      <x:c r="A45" s="176" t="str">
        <x:v>5</x:v>
      </x:c>
      <x:c r="B45" s="61" t="str">
        <x:v>Seller NOI is incomplete</x:v>
      </x:c>
      <x:c r="C45" s="60" t="str">
        <x:v>2025 seller NOI of $72,049 excludes property tax, insurance, vacancy normalization, and reserves.</x:v>
      </x:c>
      <x:c r="D45" s="60"/>
      <x:c r="E45" s="60"/>
      <x:c r="F45" s="60"/>
      <x:c r="G45" s="60"/>
      <x:c r="H45" s="60"/>
      <x:c r="I45" s="60"/>
      <x:c r="J45" s="60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9"/>
    <x:mergeCell ref="A11:E11"/>
    <x:mergeCell ref="G11:J11"/>
    <x:mergeCell ref="A23:B23"/>
    <x:mergeCell ref="A40:J40"/>
    <x:mergeCell ref="C41:J41"/>
    <x:mergeCell ref="C42:J42"/>
    <x:mergeCell ref="C43:J43"/>
    <x:mergeCell ref="C44:J44"/>
    <x:mergeCell ref="C45:J45"/>
  </x:mergeCells>
  <x:pageMargins left="0.7" right="0.7" top="0.75" bottom="0.75" header="0.3" footer="0.3"/>
  <x:drawing xmlns:r="http://schemas.openxmlformats.org/officeDocument/2006/relationships" r:id="R2015381fd82640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16" hidden="0" customWidth="1"/>
    <x:col min="4" max="4" width="29" hidden="0" customWidth="1"/>
    <x:col min="5" max="5" width="18" hidden="0" customWidth="1"/>
    <x:col min="6" max="6" width="22" hidden="0" customWidth="1"/>
    <x:col min="7" max="7" width="25" hidden="0" customWidth="1"/>
    <x:col min="8" max="8" width="18" hidden="0" customWidth="1"/>
    <x:col min="9" max="9" width="12" hidden="0" customWidth="1"/>
    <x:col min="10" max="10" width="12" hidden="0" customWidth="1"/>
  </x:cols>
  <x:sheetData>
    <x:row r="1" ht="30" customHeight="1">
      <x:c r="A1" s="5" t="str">
        <x:v>904 Vandal Drive - Assumptions &amp; Rent Roll</x:v>
      </x:c>
      <x:c r="B1" s="5" t="str">
        <x:v>904 Vandal Drive - Assumptions &amp; Rent Roll</x:v>
      </x:c>
      <x:c r="C1" s="5" t="str">
        <x:v>904 Vandal Drive - Assumptions &amp; Rent Roll</x:v>
      </x:c>
      <x:c r="D1" s="5" t="str">
        <x:v>904 Vandal Drive - Assumptions &amp; Rent Roll</x:v>
      </x:c>
      <x:c r="E1" s="5" t="str">
        <x:v>904 Vandal Drive - Assumptions &amp; Rent Roll</x:v>
      </x:c>
      <x:c r="F1" s="5" t="str">
        <x:v>904 Vandal Drive - Assumptions &amp; Rent Roll</x:v>
      </x:c>
      <x:c r="G1" s="5" t="str">
        <x:v>904 Vandal Drive - Assumptions &amp; Rent Roll</x:v>
      </x:c>
      <x:c r="H1" s="5" t="str">
        <x:v>904 Vandal Drive - Assumptions &amp; Rent Roll</x:v>
      </x:c>
      <x:c r="I1" s="5" t="str">
        <x:v>904 Vandal Drive - Assumptions &amp; Rent Roll</x:v>
      </x:c>
      <x:c r="J1" s="5" t="str">
        <x:v>904 Vandal Drive - Assumptions &amp; Rent Roll</x:v>
      </x:c>
    </x:row>
    <x:row r="2" ht="30" customHeight="1">
      <x:c r="A2" s="8" t="str">
        <x:v>Blue text = editable input | Green text = linked formula | Yellow fill = assumption to validate before purchase</x:v>
      </x:c>
      <x:c r="B2" s="8" t="str">
        <x:v>Blue text = editable input | Green text = linked formula | Yellow fill = assumption to validate before purchase</x:v>
      </x:c>
      <x:c r="C2" s="8" t="str">
        <x:v>Blue text = editable input | Green text = linked formula | Yellow fill = assumption to validate before purchase</x:v>
      </x:c>
      <x:c r="D2" s="8" t="str">
        <x:v>Blue text = editable input | Green text = linked formula | Yellow fill = assumption to validate before purchase</x:v>
      </x:c>
      <x:c r="E2" s="8" t="str">
        <x:v>Blue text = editable input | Green text = linked formula | Yellow fill = assumption to validate before purchase</x:v>
      </x:c>
      <x:c r="F2" s="8" t="str">
        <x:v>Blue text = editable input | Green text = linked formula | Yellow fill = assumption to validate before purchase</x:v>
      </x:c>
      <x:c r="G2" s="8" t="str">
        <x:v>Blue text = editable input | Green text = linked formula | Yellow fill = assumption to validate before purchase</x:v>
      </x:c>
      <x:c r="H2" s="8" t="str">
        <x:v>Blue text = editable input | Green text = linked formula | Yellow fill = assumption to validate before purchase</x:v>
      </x:c>
      <x:c r="I2" s="8" t="str">
        <x:v>Blue text = editable input | Green text = linked formula | Yellow fill = assumption to validate before purchase</x:v>
      </x:c>
      <x:c r="J2" s="8" t="str">
        <x:v>Blue text = editable input | Green text = linked formula | Yellow fill = assumption to validate before purchase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0" customHeight="1">
      <x:c r="A4" s="11" t="str">
        <x:v>Property &amp; Acquisition</x:v>
      </x:c>
      <x:c r="B4" s="11" t="str">
        <x:v>Property &amp; Acquisition</x:v>
      </x:c>
      <x:c r="C4" s="11" t="str">
        <x:v>Property &amp; Acquisition</x:v>
      </x:c>
      <x:c r="D4" s="11" t="str">
        <x:v>Normalized Operating Assumptions</x:v>
      </x:c>
      <x:c r="E4" s="11" t="str">
        <x:v>Normalized Operating Assumptions</x:v>
      </x:c>
      <x:c r="F4" s="11" t="str">
        <x:v>Normalized Operating Assumptions</x:v>
      </x:c>
      <x:c r="G4" s="11" t="str">
        <x:v>Financing</x:v>
      </x:c>
      <x:c r="H4" s="11" t="str">
        <x:v>Financing</x:v>
      </x:c>
      <x:c r="I4" s="11" t="str">
        <x:v>Financing</x:v>
      </x:c>
      <x:c r="J4" s="11" t="str">
        <x:v>Financing</x:v>
      </x:c>
    </x:row>
    <x:row r="5">
      <x:c r="A5" s="1" t="str">
        <x:v>Property address</x:v>
      </x:c>
      <x:c r="B5" s="15" t="str">
        <x:v>904 Vandal Dr. A-H, Moscow, ID 83843</x:v>
      </x:c>
      <x:c r="C5" s="1"/>
      <x:c r="D5" s="1" t="str">
        <x:v>Vacancy &amp; credit loss</x:v>
      </x:c>
      <x:c r="E5" s="18" t="n">
        <x:v>0.05</x:v>
      </x:c>
      <x:c r="F5" s="1"/>
      <x:c r="G5" s="1" t="str">
        <x:v>5-year CMT (07/31/2026)</x:v>
      </x:c>
      <x:c r="H5" s="25" t="n">
        <x:v>0.0445</x:v>
      </x:c>
      <x:c r="I5" s="1"/>
      <x:c r="J5" s="1"/>
    </x:row>
    <x:row r="6">
      <x:c r="A6" s="1" t="str">
        <x:v>Asking / purchase price</x:v>
      </x:c>
      <x:c r="B6" s="16" t="n">
        <x:v>1300000</x:v>
      </x:c>
      <x:c r="C6" s="1"/>
      <x:c r="D6" s="1" t="str">
        <x:v>Property management</x:v>
      </x:c>
      <x:c r="E6" s="18" t="n">
        <x:v>0.08</x:v>
      </x:c>
      <x:c r="F6" s="1"/>
      <x:c r="G6" s="1" t="str">
        <x:v>Lender margin</x:v>
      </x:c>
      <x:c r="H6" s="25" t="n">
        <x:v>0.025</x:v>
      </x:c>
      <x:c r="I6" s="1"/>
      <x:c r="J6" s="1"/>
    </x:row>
    <x:row r="7">
      <x:c r="A7" s="1" t="str">
        <x:v>Apartment units</x:v>
      </x:c>
      <x:c r="B7" s="17" t="n">
        <x:v>8</x:v>
      </x:c>
      <x:c r="C7" s="1"/>
      <x:c r="D7" s="1" t="str">
        <x:v>Annual insurance estimate</x:v>
      </x:c>
      <x:c r="E7" s="20" t="n">
        <x:v>8000</x:v>
      </x:c>
      <x:c r="F7" s="1"/>
      <x:c r="G7" s="1" t="str">
        <x:v>All-in interest rate</x:v>
      </x:c>
      <x:c r="H7" s="21" t="n">
        <x:f>H5+H6</x:f>
        <x:v>0.0695</x:v>
      </x:c>
      <x:c r="I7" s="1"/>
      <x:c r="J7" s="1"/>
    </x:row>
    <x:row r="8">
      <x:c r="A8" s="1" t="str">
        <x:v>Apartment square feet</x:v>
      </x:c>
      <x:c r="B8" s="17" t="n">
        <x:v>7904</x:v>
      </x:c>
      <x:c r="C8" s="1"/>
      <x:c r="D8" s="1" t="str">
        <x:v>Owner-paid utilities</x:v>
      </x:c>
      <x:c r="E8" s="20" t="n">
        <x:v>1800</x:v>
      </x:c>
      <x:c r="F8" s="1"/>
      <x:c r="G8" s="1" t="str">
        <x:v>Down payment</x:v>
      </x:c>
      <x:c r="H8" s="23" t="n">
        <x:v>0.25</x:v>
      </x:c>
      <x:c r="I8" s="1"/>
      <x:c r="J8" s="1"/>
    </x:row>
    <x:row r="9">
      <x:c r="A9" s="1" t="str">
        <x:v>Garage/shop rent - monthly</x:v>
      </x:c>
      <x:c r="B9" s="16" t="n">
        <x:v>665</x:v>
      </x:c>
      <x:c r="C9" s="1"/>
      <x:c r="D9" s="1" t="str">
        <x:v>Grounds / snow</x:v>
      </x:c>
      <x:c r="E9" s="20" t="n">
        <x:v>2500</x:v>
      </x:c>
      <x:c r="F9" s="1"/>
      <x:c r="G9" s="1" t="str">
        <x:v>Amortization (years)</x:v>
      </x:c>
      <x:c r="H9" s="17" t="n">
        <x:v>25</x:v>
      </x:c>
      <x:c r="I9" s="1"/>
      <x:c r="J9" s="1"/>
    </x:row>
    <x:row r="10">
      <x:c r="A10" s="1" t="str">
        <x:v>2025 property taxes</x:v>
      </x:c>
      <x:c r="B10" s="16" t="n">
        <x:v>11278.72</x:v>
      </x:c>
      <x:c r="C10" s="1"/>
      <x:c r="D10" s="1" t="str">
        <x:v>Repairs &amp; maintenance</x:v>
      </x:c>
      <x:c r="E10" s="19" t="n">
        <x:v>0.05</x:v>
      </x:c>
      <x:c r="F10" s="1"/>
      <x:c r="G10" s="1" t="str">
        <x:v>Loan term (years)</x:v>
      </x:c>
      <x:c r="H10" s="17" t="n">
        <x:v>5</x:v>
      </x:c>
      <x:c r="I10" s="1"/>
      <x:c r="J10" s="1"/>
    </x:row>
    <x:row r="11">
      <x:c r="A11" s="1" t="str">
        <x:v>Base valuation cap rate</x:v>
      </x:c>
      <x:c r="B11" s="19" t="n">
        <x:v>0.0675</x:v>
      </x:c>
      <x:c r="C11" s="1"/>
      <x:c r="D11" s="1" t="str">
        <x:v>Replacement reserve / apartment</x:v>
      </x:c>
      <x:c r="E11" s="20" t="n">
        <x:v>500</x:v>
      </x:c>
      <x:c r="F11" s="1"/>
      <x:c r="G11" s="1" t="str">
        <x:v>Payments per year</x:v>
      </x:c>
      <x:c r="H11" s="17" t="n">
        <x:v>12</x:v>
      </x:c>
      <x:c r="I11" s="1"/>
      <x:c r="J11" s="1"/>
    </x:row>
    <x:row r="12">
      <x:c r="A12" s="1" t="str">
        <x:v>Low valuation cap rate</x:v>
      </x:c>
      <x:c r="B12" s="19" t="n">
        <x:v>0.0625</x:v>
      </x:c>
      <x:c r="C12" s="1"/>
      <x:c r="D12" s="1" t="str">
        <x:v>Leasing / admin</x:v>
      </x:c>
      <x:c r="E12" s="19" t="n">
        <x:v>0.01</x:v>
      </x:c>
      <x:c r="F12" s="1"/>
      <x:c r="G12" s="1" t="str">
        <x:v>Loan-to-value</x:v>
      </x:c>
      <x:c r="H12" s="21" t="n">
        <x:f>1-H8</x:f>
        <x:v>0.75</x:v>
      </x:c>
      <x:c r="I12" s="1"/>
      <x:c r="J12" s="1"/>
    </x:row>
    <x:row r="13">
      <x:c r="A13" s="1" t="str">
        <x:v>High valuation cap rate</x:v>
      </x:c>
      <x:c r="B13" s="19" t="n">
        <x:v>0.0725</x:v>
      </x:c>
      <x:c r="C13" s="1"/>
      <x:c r="D13" s="1" t="str">
        <x:v>Pro forma apartment rent / month</x:v>
      </x:c>
      <x:c r="E13" s="20" t="n">
        <x:v>1300</x:v>
      </x:c>
      <x:c r="F13" s="1"/>
      <x:c r="G13" s="1" t="str">
        <x:v>Annual debt constant</x:v>
      </x:c>
      <x:c r="H13" s="21" t="n">
        <x:f>-PMT(H7/H11,H9*H11,1)*H11</x:f>
        <x:v>0.08443113080590528</x:v>
      </x:c>
      <x:c r="I13" s="1"/>
      <x:c r="J13" s="1"/>
    </x:row>
    <x:row r="14">
      <x:c r="A14" s="1" t="str">
        <x:v>Buyer closing costs</x:v>
      </x:c>
      <x:c r="B14" s="19" t="n">
        <x:v>0.02</x:v>
      </x:c>
      <x:c r="C14" s="1"/>
      <x:c r="D14" s="1" t="str">
        <x:v>Pro forma garage/shop rent / month</x:v>
      </x:c>
      <x:c r="E14" s="16" t="n">
        <x:v>665</x:v>
      </x:c>
      <x:c r="F14" s="1"/>
      <x:c r="G14" s="1" t="str">
        <x:v>Minimum lender DSCR</x:v>
      </x:c>
      <x:c r="H14" s="24" t="n">
        <x:v>1.25</x:v>
      </x:c>
      <x:c r="I14" s="1"/>
      <x:c r="J14" s="1"/>
    </x:row>
    <x:row r="15">
      <x:c r="A15" s="1" t="str">
        <x:v>Acquisition / immediate capex</x:v>
      </x:c>
      <x:c r="B15" s="20" t="n">
        <x:v>0</x:v>
      </x:c>
      <x:c r="C15" s="1"/>
      <x:c r="D15" s="1"/>
      <x:c r="E15" s="1"/>
      <x:c r="F15" s="1"/>
      <x:c r="G15" s="1" t="str">
        <x:v>Interest-only period (months)</x:v>
      </x:c>
      <x:c r="H15" s="15" t="n">
        <x:v>0</x:v>
      </x:c>
      <x:c r="I15" s="1"/>
      <x:c r="J15" s="1"/>
    </x:row>
    <x:row r="16">
      <x:c r="A16" s="1" t="str">
        <x:v>Rent roll stated total - monthly</x:v>
      </x:c>
      <x:c r="B16" s="16" t="n">
        <x:v>7345</x:v>
      </x:c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0" customHeight="1">
      <x:c r="A18" s="11" t="str">
        <x:v>Unit Rent Roll (as of 01/21/2026)</x:v>
      </x:c>
      <x:c r="B18" s="11" t="str">
        <x:v>Unit Rent Roll (as of 01/21/2026)</x:v>
      </x:c>
      <x:c r="C18" s="11" t="str">
        <x:v>Unit Rent Roll (as of 01/21/2026)</x:v>
      </x:c>
      <x:c r="D18" s="11" t="str">
        <x:v>Unit Rent Roll (as of 01/21/2026)</x:v>
      </x:c>
      <x:c r="E18" s="11" t="str">
        <x:v>Unit Rent Roll (as of 01/21/2026)</x:v>
      </x:c>
      <x:c r="F18" s="11" t="str">
        <x:v>Unit Rent Roll (as of 01/21/2026)</x:v>
      </x:c>
      <x:c r="G18" s="1"/>
      <x:c r="H18" s="1"/>
      <x:c r="I18" s="1"/>
      <x:c r="J18" s="1"/>
    </x:row>
    <x:row r="19">
      <x:c r="A19" s="29" t="str">
        <x:v>Unit</x:v>
      </x:c>
      <x:c r="B19" s="29" t="str">
        <x:v>Current Rent</x:v>
      </x:c>
      <x:c r="C19" s="29" t="str">
        <x:v>Pro Forma Rent</x:v>
      </x:c>
      <x:c r="D19" s="29" t="str">
        <x:v>Monthly Uplift</x:v>
      </x:c>
      <x:c r="E19" s="29" t="str">
        <x:v>Lease Expiration</x:v>
      </x:c>
      <x:c r="F19" s="29" t="str">
        <x:v>Notes</x:v>
      </x:c>
      <x:c r="G19" s="1"/>
      <x:c r="H19" s="1"/>
      <x:c r="I19" s="1"/>
      <x:c r="J19" s="1"/>
    </x:row>
    <x:row r="20">
      <x:c r="A20" s="1" t="str">
        <x:v>A</x:v>
      </x:c>
      <x:c r="B20" s="16" t="n">
        <x:v>880</x:v>
      </x:c>
      <x:c r="C20" s="12" t="n">
        <x:f>$E$13</x:f>
        <x:v>1300</x:v>
      </x:c>
      <x:c r="D20" s="12" t="n">
        <x:f>C20-B20</x:f>
        <x:v>420</x:v>
      </x:c>
      <x:c r="E20" s="30" t="n">
        <x:v>46203</x:v>
      </x:c>
      <x:c r="F20" s="1" t="str">
        <x:v>2BR / 2BA</x:v>
      </x:c>
      <x:c r="G20" s="1"/>
      <x:c r="H20" s="1"/>
      <x:c r="I20" s="1"/>
      <x:c r="J20" s="1"/>
    </x:row>
    <x:row r="21">
      <x:c r="A21" s="1" t="str">
        <x:v>B</x:v>
      </x:c>
      <x:c r="B21" s="16" t="n">
        <x:v>810</x:v>
      </x:c>
      <x:c r="C21" s="12" t="n">
        <x:f>$E$13</x:f>
        <x:v>1300</x:v>
      </x:c>
      <x:c r="D21" s="12" t="n">
        <x:f>C21-B21</x:f>
        <x:v>490</x:v>
      </x:c>
      <x:c r="E21" s="30" t="n">
        <x:v>46203</x:v>
      </x:c>
      <x:c r="F21" s="1" t="str">
        <x:v>2BR / 2BA</x:v>
      </x:c>
      <x:c r="G21" s="1"/>
      <x:c r="H21" s="1"/>
      <x:c r="I21" s="1"/>
      <x:c r="J21" s="1"/>
    </x:row>
    <x:row r="22">
      <x:c r="A22" s="1" t="str">
        <x:v>C</x:v>
      </x:c>
      <x:c r="B22" s="16" t="n">
        <x:v>880</x:v>
      </x:c>
      <x:c r="C22" s="12" t="n">
        <x:f>$E$13</x:f>
        <x:v>1300</x:v>
      </x:c>
      <x:c r="D22" s="12" t="n">
        <x:f>C22-B22</x:f>
        <x:v>420</x:v>
      </x:c>
      <x:c r="E22" s="30" t="n">
        <x:v>46173</x:v>
      </x:c>
      <x:c r="F22" s="1" t="str">
        <x:v>2BR / 2BA</x:v>
      </x:c>
      <x:c r="G22" s="1"/>
      <x:c r="H22" s="1"/>
      <x:c r="I22" s="1"/>
      <x:c r="J22" s="1"/>
    </x:row>
    <x:row r="23">
      <x:c r="A23" s="1" t="str">
        <x:v>D</x:v>
      </x:c>
      <x:c r="B23" s="16" t="n">
        <x:v>810</x:v>
      </x:c>
      <x:c r="C23" s="12" t="n">
        <x:f>$E$13</x:f>
        <x:v>1300</x:v>
      </x:c>
      <x:c r="D23" s="12" t="n">
        <x:f>C23-B23</x:f>
        <x:v>490</x:v>
      </x:c>
      <x:c r="E23" s="30" t="n">
        <x:v>46203</x:v>
      </x:c>
      <x:c r="F23" s="1" t="str">
        <x:v>2BR / 2BA</x:v>
      </x:c>
      <x:c r="G23" s="1"/>
      <x:c r="H23" s="1"/>
      <x:c r="I23" s="1"/>
      <x:c r="J23" s="1"/>
    </x:row>
    <x:row r="24">
      <x:c r="A24" s="1" t="str">
        <x:v>E</x:v>
      </x:c>
      <x:c r="B24" s="16" t="n">
        <x:v>810</x:v>
      </x:c>
      <x:c r="C24" s="12" t="n">
        <x:f>$E$13</x:f>
        <x:v>1300</x:v>
      </x:c>
      <x:c r="D24" s="12" t="n">
        <x:f>C24-B24</x:f>
        <x:v>490</x:v>
      </x:c>
      <x:c r="E24" s="30" t="n">
        <x:v>46234</x:v>
      </x:c>
      <x:c r="F24" s="1" t="str">
        <x:v>2BR / 2BA</x:v>
      </x:c>
      <x:c r="G24" s="1"/>
      <x:c r="H24" s="1"/>
      <x:c r="I24" s="1"/>
      <x:c r="J24" s="1"/>
    </x:row>
    <x:row r="25">
      <x:c r="A25" s="1" t="str">
        <x:v>F</x:v>
      </x:c>
      <x:c r="B25" s="16" t="n">
        <x:v>870</x:v>
      </x:c>
      <x:c r="C25" s="12" t="n">
        <x:f>$E$13</x:f>
        <x:v>1300</x:v>
      </x:c>
      <x:c r="D25" s="12" t="n">
        <x:f>C25-B25</x:f>
        <x:v>430</x:v>
      </x:c>
      <x:c r="E25" s="30" t="n">
        <x:v>46234</x:v>
      </x:c>
      <x:c r="F25" s="1" t="str">
        <x:v>2BR / 2BA; shared lease</x:v>
      </x:c>
      <x:c r="G25" s="1"/>
      <x:c r="H25" s="1"/>
      <x:c r="I25" s="1"/>
      <x:c r="J25" s="1"/>
    </x:row>
    <x:row r="26">
      <x:c r="A26" s="1" t="str">
        <x:v>G</x:v>
      </x:c>
      <x:c r="B26" s="16" t="n">
        <x:v>810</x:v>
      </x:c>
      <x:c r="C26" s="12" t="n">
        <x:f>$E$13</x:f>
        <x:v>1300</x:v>
      </x:c>
      <x:c r="D26" s="12" t="n">
        <x:f>C26-B26</x:f>
        <x:v>490</x:v>
      </x:c>
      <x:c r="E26" s="30" t="n">
        <x:v>46203</x:v>
      </x:c>
      <x:c r="F26" s="1" t="str">
        <x:v>2BR / 2BA</x:v>
      </x:c>
      <x:c r="G26" s="1"/>
      <x:c r="H26" s="1"/>
      <x:c r="I26" s="1"/>
      <x:c r="J26" s="1"/>
    </x:row>
    <x:row r="27">
      <x:c r="A27" s="1" t="str">
        <x:v>H</x:v>
      </x:c>
      <x:c r="B27" s="16" t="n">
        <x:v>810</x:v>
      </x:c>
      <x:c r="C27" s="12" t="n">
        <x:f>$E$13</x:f>
        <x:v>1300</x:v>
      </x:c>
      <x:c r="D27" s="12" t="n">
        <x:f>C27-B27</x:f>
        <x:v>490</x:v>
      </x:c>
      <x:c r="E27" s="30" t="n">
        <x:v>46234</x:v>
      </x:c>
      <x:c r="F27" s="1" t="str">
        <x:v>2BR / 2BA</x:v>
      </x:c>
      <x:c r="G27" s="1"/>
      <x:c r="H27" s="1"/>
      <x:c r="I27" s="1"/>
      <x:c r="J27" s="1"/>
    </x:row>
    <x:row r="28">
      <x:c r="A28" s="1" t="str">
        <x:v>Garage G1</x:v>
      </x:c>
      <x:c r="B28" s="16" t="n">
        <x:v>530</x:v>
      </x:c>
      <x:c r="C28" s="16" t="n">
        <x:v>530</x:v>
      </x:c>
      <x:c r="D28" s="12" t="n">
        <x:f>C28-B28</x:f>
        <x:v>0</x:v>
      </x:c>
      <x:c r="E28" s="30"/>
      <x:c r="F28" s="1" t="str">
        <x:v>Month-to-month</x:v>
      </x:c>
      <x:c r="G28" s="1"/>
      <x:c r="H28" s="1"/>
      <x:c r="I28" s="1"/>
      <x:c r="J28" s="1"/>
    </x:row>
    <x:row r="29">
      <x:c r="A29" s="1" t="str">
        <x:v>Garage G3</x:v>
      </x:c>
      <x:c r="B29" s="16" t="n">
        <x:v>135</x:v>
      </x:c>
      <x:c r="C29" s="16" t="n">
        <x:v>135</x:v>
      </x:c>
      <x:c r="D29" s="12" t="n">
        <x:f>C29-B29</x:f>
        <x:v>0</x:v>
      </x:c>
      <x:c r="E29" s="30"/>
      <x:c r="F29" s="1" t="str">
        <x:v>Month-to-month</x:v>
      </x:c>
      <x:c r="G29" s="1"/>
      <x:c r="H29" s="1"/>
      <x:c r="I29" s="1"/>
      <x:c r="J29" s="1"/>
    </x:row>
    <x:row r="30">
      <x:c r="A30" s="33" t="str">
        <x:v>Total Apartments</x:v>
      </x:c>
      <x:c r="B30" s="34" t="n">
        <x:f>SUM(B20:B27)</x:f>
        <x:v>6680</x:v>
      </x:c>
      <x:c r="C30" s="34" t="n">
        <x:f>SUM(C20:C27)</x:f>
        <x:v>10400</x:v>
      </x:c>
      <x:c r="D30" s="34" t="n">
        <x:f>SUM(D20:D27)</x:f>
        <x:v>3720</x:v>
      </x:c>
      <x:c r="E30" s="1"/>
      <x:c r="F30" s="1"/>
      <x:c r="G30" s="1"/>
      <x:c r="H30" s="1"/>
      <x:c r="I30" s="1"/>
      <x:c r="J30" s="1"/>
    </x:row>
    <x:row r="31">
      <x:c r="A31" s="31" t="str">
        <x:v>Total Garage/Shop</x:v>
      </x:c>
      <x:c r="B31" s="32" t="n">
        <x:f>SUM(B28:B29)</x:f>
        <x:v>665</x:v>
      </x:c>
      <x:c r="C31" s="32" t="n">
        <x:f>SUM(C28:C29)</x:f>
        <x:v>665</x:v>
      </x:c>
      <x:c r="D31" s="32" t="n">
        <x:f>SUM(D28:D29)</x:f>
        <x:v>0</x:v>
      </x:c>
      <x:c r="E31" s="1"/>
      <x:c r="F31" s="1"/>
      <x:c r="G31" s="1"/>
      <x:c r="H31" s="1"/>
      <x:c r="I31" s="1"/>
      <x:c r="J31" s="1"/>
    </x:row>
    <x:row r="32">
      <x:c r="A32" s="35" t="str">
        <x:v>Total Property</x:v>
      </x:c>
      <x:c r="B32" s="36" t="n">
        <x:f>SUM(B30:B31)</x:f>
        <x:v>7345</x:v>
      </x:c>
      <x:c r="C32" s="36" t="n">
        <x:f>SUM(C30:C31)</x:f>
        <x:v>11065</x:v>
      </x:c>
      <x:c r="D32" s="36" t="n">
        <x:f>SUM(D30:D31)</x:f>
        <x:v>3720</x:v>
      </x:c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32" customHeight="1">
      <x:c r="A34" s="40" t="str">
        <x:v>Underwriting convention</x:v>
      </x:c>
      <x:c r="B34" s="39" t="str">
        <x:v>Normalized buyer underwriting; seller P&amp;Ls exclude property taxes and insurance and do not carry a recurring replacement reserve.</x:v>
      </x:c>
      <x:c r="C34" s="39"/>
      <x:c r="D34" s="39"/>
      <x:c r="E34" s="39"/>
      <x:c r="F34" s="39"/>
      <x:c r="G34" s="39"/>
      <x:c r="H34" s="39"/>
      <x:c r="I34" s="39"/>
      <x:c r="J34" s="39"/>
    </x:row>
    <x:row r="35" ht="32" customHeight="1">
      <x:c r="A35" s="40" t="str">
        <x:v>Expense calibration</x:v>
      </x:c>
      <x:c r="B35" s="39" t="str">
        <x:v>Grounds/snow is approximately the 2023-2025 average. Utilities approximate 2025 actual. Insurance, vacancy, repairs, reserves, admin, cap rate, and closing costs are analyst assumptions.</x:v>
      </x:c>
      <x:c r="C35" s="39"/>
      <x:c r="D35" s="39"/>
      <x:c r="E35" s="39"/>
      <x:c r="F35" s="39"/>
      <x:c r="G35" s="39"/>
      <x:c r="H35" s="39"/>
      <x:c r="I35" s="39"/>
      <x:c r="J35" s="39"/>
    </x:row>
    <x:row r="36" ht="32" customHeight="1">
      <x:c r="A36" s="40" t="str">
        <x:v>Financing convention</x:v>
      </x:c>
      <x:c r="B36" s="39" t="str">
        <x:v>75% LTV, 5-year term, 25-year amortization, monthly payments; coupon equals 5-year CMT plus 2.50%.</x:v>
      </x:c>
      <x:c r="C36" s="39"/>
      <x:c r="D36" s="39"/>
      <x:c r="E36" s="39"/>
      <x:c r="F36" s="39"/>
      <x:c r="G36" s="39"/>
      <x:c r="H36" s="39"/>
      <x:c r="I36" s="39"/>
      <x:c r="J36" s="39"/>
    </x:row>
    <x:row r="37" ht="32" customHeight="1">
      <x:c r="A37" s="40" t="str">
        <x:v>Important</x:v>
      </x:c>
      <x:c r="B37" s="39" t="str">
        <x:v>Obtain an insurance quote, confirm taxes after sale, inspect roofs/plumbing/slab/units, and verify that $1,300/unit is achievable before relying on the pro forma.</x:v>
      </x:c>
      <x:c r="C37" s="39"/>
      <x:c r="D37" s="39"/>
      <x:c r="E37" s="39"/>
      <x:c r="F37" s="39"/>
      <x:c r="G37" s="39"/>
      <x:c r="H37" s="39"/>
      <x:c r="I37" s="39"/>
      <x:c r="J37" s="39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J1"/>
    <x:mergeCell ref="A2:J2"/>
    <x:mergeCell ref="A4:C4"/>
    <x:mergeCell ref="D4:F4"/>
    <x:mergeCell ref="G4:J4"/>
    <x:mergeCell ref="A18:F18"/>
    <x:mergeCell ref="B34:J34"/>
    <x:mergeCell ref="B35:J35"/>
    <x:mergeCell ref="B36:J36"/>
    <x:mergeCell ref="B37:J37"/>
  </x:mergeCells>
  <x:pageMargins left="0.7" right="0.7" top="0.75" bottom="0.75" header="0.3" footer="0.3"/>
  <x:legacyDrawing xmlns:r="http://schemas.openxmlformats.org/officeDocument/2006/relationships" r:id="R60b1b09b28a1485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32" hidden="0" customWidth="1"/>
    <x:col min="8" max="8" width="20" hidden="0" customWidth="1"/>
  </x:cols>
  <x:sheetData>
    <x:row r="1" ht="30" customHeight="1">
      <x:c r="A1" s="5" t="str">
        <x:v>Cash Flow Underwriting</x:v>
      </x:c>
      <x:c r="B1" s="5" t="str">
        <x:v>Cash Flow Underwriting</x:v>
      </x:c>
      <x:c r="C1" s="5" t="str">
        <x:v>Cash Flow Underwriting</x:v>
      </x:c>
      <x:c r="D1" s="5" t="str">
        <x:v>Cash Flow Underwriting</x:v>
      </x:c>
      <x:c r="E1" s="5" t="str">
        <x:v>Cash Flow Underwriting</x:v>
      </x:c>
      <x:c r="F1" s="5" t="str">
        <x:v>Cash Flow Underwriting</x:v>
      </x:c>
      <x:c r="G1" s="5" t="str">
        <x:v>Cash Flow Underwriting</x:v>
      </x:c>
      <x:c r="H1" s="5" t="str">
        <x:v>Cash Flow Underwriting</x:v>
      </x:c>
      <x:c r="I1" s="5" t="str">
        <x:v>Cash Flow Underwriting</x:v>
      </x:c>
      <x:c r="J1" s="1"/>
    </x:row>
    <x:row r="2" ht="30" customHeight="1">
      <x:c r="A2" s="8" t="str">
        <x:v>Four views: current rents and $1,300/unit, each at asking price and the as-is cash-flow break-even price</x:v>
      </x:c>
      <x:c r="B2" s="8" t="str">
        <x:v>Four views: current rents and $1,300/unit, each at asking price and the as-is cash-flow break-even price</x:v>
      </x:c>
      <x:c r="C2" s="8" t="str">
        <x:v>Four views: current rents and $1,300/unit, each at asking price and the as-is cash-flow break-even price</x:v>
      </x:c>
      <x:c r="D2" s="8" t="str">
        <x:v>Four views: current rents and $1,300/unit, each at asking price and the as-is cash-flow break-even price</x:v>
      </x:c>
      <x:c r="E2" s="8" t="str">
        <x:v>Four views: current rents and $1,300/unit, each at asking price and the as-is cash-flow break-even price</x:v>
      </x:c>
      <x:c r="F2" s="8" t="str">
        <x:v>Four views: current rents and $1,300/unit, each at asking price and the as-is cash-flow break-even price</x:v>
      </x:c>
      <x:c r="G2" s="8" t="str">
        <x:v>Four views: current rents and $1,300/unit, each at asking price and the as-is cash-flow break-even price</x:v>
      </x:c>
      <x:c r="H2" s="8" t="str">
        <x:v>Four views: current rents and $1,300/unit, each at asking price and the as-is cash-flow break-even price</x:v>
      </x:c>
      <x:c r="I2" s="8" t="str">
        <x:v>Four views: current rents and $1,300/unit, each at asking price and the as-is cash-flow break-even price</x:v>
      </x:c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9" t="str">
        <x:v>Metric</x:v>
      </x:c>
      <x:c r="B4" s="29" t="str">
        <x:v>As-Is @ Ask</x:v>
      </x:c>
      <x:c r="C4" s="29" t="str">
        <x:v>Pro Forma @ Ask</x:v>
      </x:c>
      <x:c r="D4" s="29" t="str">
        <x:v>As-Is @ Break-Even</x:v>
      </x:c>
      <x:c r="E4" s="29" t="str">
        <x:v>Pro Forma @ Break-Even</x:v>
      </x:c>
      <x:c r="F4" s="1"/>
      <x:c r="G4" s="27" t="str">
        <x:v>Break-Even &amp; Lender Sizing</x:v>
      </x:c>
      <x:c r="H4" s="27" t="str">
        <x:v>Break-Even &amp; Lender Sizing</x:v>
      </x:c>
      <x:c r="I4" s="27" t="str">
        <x:v>Break-Even &amp; Lender Sizing</x:v>
      </x:c>
      <x:c r="J4" s="1"/>
    </x:row>
    <x:row r="5" ht="20" customHeight="1">
      <x:c r="A5" s="11" t="str">
        <x:v>Acquisition &amp; Financing</x:v>
      </x:c>
      <x:c r="B5" s="11" t="str">
        <x:v>Acquisition &amp; Financing</x:v>
      </x:c>
      <x:c r="C5" s="11" t="str">
        <x:v>Acquisition &amp; Financing</x:v>
      </x:c>
      <x:c r="D5" s="11" t="str">
        <x:v>Acquisition &amp; Financing</x:v>
      </x:c>
      <x:c r="E5" s="11" t="str">
        <x:v>Acquisition &amp; Financing</x:v>
      </x:c>
      <x:c r="F5" s="1"/>
      <x:c r="G5" s="29" t="str">
        <x:v>Metric</x:v>
      </x:c>
      <x:c r="H5" s="29" t="str">
        <x:v>Value</x:v>
      </x:c>
      <x:c r="I5" s="1"/>
      <x:c r="J5" s="1"/>
    </x:row>
    <x:row r="6">
      <x:c r="A6" s="1" t="str">
        <x:v>Purchase price</x:v>
      </x:c>
      <x:c r="B6" s="42" t="n">
        <x:f>'Assumptions'!$B$6</x:f>
        <x:v>1300000</x:v>
      </x:c>
      <x:c r="C6" s="42" t="n">
        <x:f>'Assumptions'!$B$6</x:f>
        <x:v>1300000</x:v>
      </x:c>
      <x:c r="D6" s="42" t="n">
        <x:f>$H$6</x:f>
        <x:v>701663.1515870898</x:v>
      </x:c>
      <x:c r="E6" s="42" t="n">
        <x:f>$H$6</x:f>
        <x:v>701663.1515870898</x:v>
      </x:c>
      <x:c r="F6" s="1"/>
      <x:c r="G6" s="1" t="str">
        <x:v>As-is cash-flow break-even price</x:v>
      </x:c>
      <x:c r="H6" s="12" t="n">
        <x:f>B37/('Assumptions'!H12*'Assumptions'!H13)</x:f>
        <x:v>701663.1515870898</x:v>
      </x:c>
      <x:c r="I6" s="1"/>
      <x:c r="J6" s="1"/>
    </x:row>
    <x:row r="7">
      <x:c r="A7" s="1" t="str">
        <x:v>Down payment %</x:v>
      </x:c>
      <x:c r="B7" s="43" t="n">
        <x:f>'Assumptions'!$H$8</x:f>
        <x:v>0.25</x:v>
      </x:c>
      <x:c r="C7" s="43" t="n">
        <x:f>'Assumptions'!$H$8</x:f>
        <x:v>0.25</x:v>
      </x:c>
      <x:c r="D7" s="43" t="n">
        <x:f>'Assumptions'!$H$8</x:f>
        <x:v>0.25</x:v>
      </x:c>
      <x:c r="E7" s="43" t="n">
        <x:f>'Assumptions'!$H$8</x:f>
        <x:v>0.25</x:v>
      </x:c>
      <x:c r="F7" s="1"/>
      <x:c r="G7" s="1" t="str">
        <x:v>As-is cash flow at break-even</x:v>
      </x:c>
      <x:c r="H7" s="12" t="n">
        <x:f>B37-H6*'Assumptions'!H12*'Assumptions'!H13</x:f>
        <x:v>0</x:v>
      </x:c>
      <x:c r="I7" s="1"/>
      <x:c r="J7" s="1"/>
    </x:row>
    <x:row r="8">
      <x:c r="A8" s="1" t="str">
        <x:v>Equity down payment</x:v>
      </x:c>
      <x:c r="B8" s="12" t="n">
        <x:f>B6*B7</x:f>
        <x:v>325000</x:v>
      </x:c>
      <x:c r="C8" s="12" t="n">
        <x:f>C6*C7</x:f>
        <x:v>325000</x:v>
      </x:c>
      <x:c r="D8" s="12" t="n">
        <x:f>D6*D7</x:f>
        <x:v>175415.78789677244</x:v>
      </x:c>
      <x:c r="E8" s="12" t="n">
        <x:f>E6*E7</x:f>
        <x:v>175415.78789677244</x:v>
      </x:c>
      <x:c r="F8" s="1"/>
      <x:c r="G8" s="1" t="str">
        <x:v>Loan at break-even price</x:v>
      </x:c>
      <x:c r="H8" s="12" t="n">
        <x:f>H6*'Assumptions'!H12</x:f>
        <x:v>526247.3636903174</x:v>
      </x:c>
      <x:c r="I8" s="1"/>
      <x:c r="J8" s="1"/>
    </x:row>
    <x:row r="9">
      <x:c r="A9" s="1" t="str">
        <x:v>Closing costs</x:v>
      </x:c>
      <x:c r="B9" s="12" t="n">
        <x:f>B6*'Assumptions'!$B$14</x:f>
        <x:v>26000</x:v>
      </x:c>
      <x:c r="C9" s="12" t="n">
        <x:f>C6*'Assumptions'!$B$14</x:f>
        <x:v>26000</x:v>
      </x:c>
      <x:c r="D9" s="12" t="n">
        <x:f>D6*'Assumptions'!$B$14</x:f>
        <x:v>14033.263031741795</x:v>
      </x:c>
      <x:c r="E9" s="12" t="n">
        <x:f>E6*'Assumptions'!$B$14</x:f>
        <x:v>14033.263031741795</x:v>
      </x:c>
      <x:c r="F9" s="1"/>
      <x:c r="G9" s="1" t="str">
        <x:v>Max loan at 1.25x DSCR</x:v>
      </x:c>
      <x:c r="H9" s="12" t="n">
        <x:f>B37/'Assumptions'!H14/'Assumptions'!H13</x:f>
        <x:v>420997.8909522539</x:v>
      </x:c>
      <x:c r="I9" s="1"/>
      <x:c r="J9" s="1"/>
    </x:row>
    <x:row r="10">
      <x:c r="A10" s="1" t="str">
        <x:v>Acquisition capex</x:v>
      </x:c>
      <x:c r="B10" s="12" t="n">
        <x:f>'Assumptions'!$B$15</x:f>
        <x:v>0</x:v>
      </x:c>
      <x:c r="C10" s="12" t="n">
        <x:f>'Assumptions'!$B$15</x:f>
        <x:v>0</x:v>
      </x:c>
      <x:c r="D10" s="12" t="n">
        <x:f>'Assumptions'!$B$15</x:f>
        <x:v>0</x:v>
      </x:c>
      <x:c r="E10" s="12" t="n">
        <x:f>'Assumptions'!$B$15</x:f>
        <x:v>0</x:v>
      </x:c>
      <x:c r="F10" s="1"/>
      <x:c r="G10" s="1" t="str">
        <x:v>Implied price at 75% LTV</x:v>
      </x:c>
      <x:c r="H10" s="12" t="n">
        <x:f>H9/'Assumptions'!H12</x:f>
        <x:v>561330.5212696719</x:v>
      </x:c>
      <x:c r="I10" s="1"/>
      <x:c r="J10" s="1"/>
    </x:row>
    <x:row r="11">
      <x:c r="A11" s="51" t="str">
        <x:v>Total initial cash</x:v>
      </x:c>
      <x:c r="B11" s="52" t="n">
        <x:f>SUM(B8:B10)</x:f>
        <x:v>351000</x:v>
      </x:c>
      <x:c r="C11" s="52" t="n">
        <x:f>SUM(C8:C10)</x:f>
        <x:v>351000</x:v>
      </x:c>
      <x:c r="D11" s="52" t="n">
        <x:f>SUM(D8:D10)</x:f>
        <x:v>189449.05092851425</x:v>
      </x:c>
      <x:c r="E11" s="52" t="n">
        <x:f>SUM(E8:E10)</x:f>
        <x:v>189449.05092851425</x:v>
      </x:c>
      <x:c r="F11" s="1"/>
      <x:c r="G11" s="1"/>
      <x:c r="H11" s="1"/>
      <x:c r="I11" s="1"/>
      <x:c r="J11" s="1"/>
    </x:row>
    <x:row r="12">
      <x:c r="A12" s="1" t="str">
        <x:v>Loan amount</x:v>
      </x:c>
      <x:c r="B12" s="12" t="n">
        <x:f>B6-B8</x:f>
        <x:v>975000</x:v>
      </x:c>
      <x:c r="C12" s="12" t="n">
        <x:f>C6-C8</x:f>
        <x:v>975000</x:v>
      </x:c>
      <x:c r="D12" s="12" t="n">
        <x:f>D6-D8</x:f>
        <x:v>526247.3636903174</x:v>
      </x:c>
      <x:c r="E12" s="12" t="n">
        <x:f>E6-E8</x:f>
        <x:v>526247.3636903174</x:v>
      </x:c>
      <x:c r="F12" s="1"/>
      <x:c r="G12" s="1"/>
      <x:c r="H12" s="1"/>
      <x:c r="I12" s="1"/>
      <x:c r="J12" s="1"/>
    </x:row>
    <x:row r="13">
      <x:c r="A13" s="1" t="str">
        <x:v>Interest rate</x:v>
      </x:c>
      <x:c r="B13" s="44" t="n">
        <x:f>'Assumptions'!$H$7</x:f>
        <x:v>0.0695</x:v>
      </x:c>
      <x:c r="C13" s="44" t="n">
        <x:f>'Assumptions'!$H$7</x:f>
        <x:v>0.0695</x:v>
      </x:c>
      <x:c r="D13" s="44" t="n">
        <x:f>'Assumptions'!$H$7</x:f>
        <x:v>0.0695</x:v>
      </x:c>
      <x:c r="E13" s="44" t="n">
        <x:f>'Assumptions'!$H$7</x:f>
        <x:v>0.0695</x:v>
      </x:c>
      <x:c r="F13" s="1"/>
      <x:c r="G13" s="1"/>
      <x:c r="H13" s="1"/>
      <x:c r="I13" s="1"/>
      <x:c r="J13" s="1"/>
    </x:row>
    <x:row r="14">
      <x:c r="A14" s="1" t="str">
        <x:v>Amortization (years)</x:v>
      </x:c>
      <x:c r="B14" s="45" t="n">
        <x:f>'Assumptions'!$H$9</x:f>
        <x:v>25</x:v>
      </x:c>
      <x:c r="C14" s="45" t="n">
        <x:f>'Assumptions'!$H$9</x:f>
        <x:v>25</x:v>
      </x:c>
      <x:c r="D14" s="45" t="n">
        <x:f>'Assumptions'!$H$9</x:f>
        <x:v>25</x:v>
      </x:c>
      <x:c r="E14" s="45" t="n">
        <x:f>'Assumptions'!$H$9</x:f>
        <x:v>25</x:v>
      </x:c>
      <x:c r="F14" s="1"/>
      <x:c r="G14" s="1"/>
      <x:c r="H14" s="1"/>
      <x:c r="I14" s="1"/>
      <x:c r="J14" s="1"/>
    </x:row>
    <x:row r="15">
      <x:c r="A15" s="1" t="str">
        <x:v>Monthly debt service</x:v>
      </x:c>
      <x:c r="B15" s="12" t="n">
        <x:f>-PMT(B13/'Assumptions'!$H$11,B14*'Assumptions'!$H$11,B12)</x:f>
        <x:v>6860.029377979805</x:v>
      </x:c>
      <x:c r="C15" s="12" t="n">
        <x:f>-PMT(C13/'Assumptions'!$H$11,C14*'Assumptions'!$H$11,C12)</x:f>
        <x:v>6860.029377979805</x:v>
      </x:c>
      <x:c r="D15" s="12" t="n">
        <x:f>-PMT(D13/'Assumptions'!$H$11,D14*'Assumptions'!$H$11,D12)</x:f>
        <x:v>3702.6383333333333</x:v>
      </x:c>
      <x:c r="E15" s="12" t="n">
        <x:f>-PMT(E13/'Assumptions'!$H$11,E14*'Assumptions'!$H$11,E12)</x:f>
        <x:v>3702.6383333333333</x:v>
      </x:c>
      <x:c r="F15" s="1"/>
      <x:c r="G15" s="1"/>
      <x:c r="H15" s="1"/>
      <x:c r="I15" s="1"/>
      <x:c r="J15" s="1"/>
    </x:row>
    <x:row r="16">
      <x:c r="A16" s="51" t="str">
        <x:v>Annual debt service</x:v>
      </x:c>
      <x:c r="B16" s="52" t="n">
        <x:f>B15*'Assumptions'!$H$11</x:f>
        <x:v>82320.35253575766</x:v>
      </x:c>
      <x:c r="C16" s="52" t="n">
        <x:f>C15*'Assumptions'!$H$11</x:f>
        <x:v>82320.35253575766</x:v>
      </x:c>
      <x:c r="D16" s="52" t="n">
        <x:f>D15*'Assumptions'!$H$11</x:f>
        <x:v>44431.66</x:v>
      </x:c>
      <x:c r="E16" s="52" t="n">
        <x:f>E15*'Assumptions'!$H$11</x:f>
        <x:v>44431.66</x:v>
      </x:c>
      <x:c r="F16" s="1"/>
      <x:c r="G16" s="1"/>
      <x:c r="H16" s="1"/>
      <x:c r="I16" s="1"/>
      <x:c r="J16" s="1"/>
    </x:row>
    <x:row r="17">
      <x:c r="A17" s="1"/>
      <x:c r="B17" s="46"/>
      <x:c r="C17" s="46"/>
      <x:c r="D17" s="46"/>
      <x:c r="E17" s="46"/>
      <x:c r="F17" s="1"/>
      <x:c r="G17" s="1"/>
      <x:c r="H17" s="1"/>
      <x:c r="I17" s="1"/>
      <x:c r="J17" s="1"/>
    </x:row>
    <x:row r="18" ht="20" customHeight="1">
      <x:c r="A18" s="11" t="str">
        <x:v>Income</x:v>
      </x:c>
      <x:c r="B18" s="47" t="str">
        <x:v>Income</x:v>
      </x:c>
      <x:c r="C18" s="47" t="str">
        <x:v>Income</x:v>
      </x:c>
      <x:c r="D18" s="47" t="str">
        <x:v>Income</x:v>
      </x:c>
      <x:c r="E18" s="47" t="str">
        <x:v>Income</x:v>
      </x:c>
      <x:c r="F18" s="1"/>
      <x:c r="G18" s="1"/>
      <x:c r="H18" s="1"/>
      <x:c r="I18" s="1"/>
      <x:c r="J18" s="1"/>
    </x:row>
    <x:row r="19">
      <x:c r="A19" s="1" t="str">
        <x:v>Apartment rent / month</x:v>
      </x:c>
      <x:c r="B19" s="42" t="n">
        <x:f>'Assumptions'!$B$30</x:f>
        <x:v>6680</x:v>
      </x:c>
      <x:c r="C19" s="42" t="n">
        <x:f>'Assumptions'!$C$30</x:f>
        <x:v>10400</x:v>
      </x:c>
      <x:c r="D19" s="42" t="n">
        <x:f>'Assumptions'!$B$30</x:f>
        <x:v>6680</x:v>
      </x:c>
      <x:c r="E19" s="42" t="n">
        <x:f>'Assumptions'!$C$30</x:f>
        <x:v>10400</x:v>
      </x:c>
      <x:c r="F19" s="1"/>
      <x:c r="G19" s="1"/>
      <x:c r="H19" s="1"/>
      <x:c r="I19" s="1"/>
      <x:c r="J19" s="1"/>
    </x:row>
    <x:row r="20">
      <x:c r="A20" s="1" t="str">
        <x:v>Garage/shop rent / month</x:v>
      </x:c>
      <x:c r="B20" s="42" t="n">
        <x:f>'Assumptions'!$B$31</x:f>
        <x:v>665</x:v>
      </x:c>
      <x:c r="C20" s="42" t="n">
        <x:f>'Assumptions'!$C$31</x:f>
        <x:v>665</x:v>
      </x:c>
      <x:c r="D20" s="42" t="n">
        <x:f>'Assumptions'!$B$31</x:f>
        <x:v>665</x:v>
      </x:c>
      <x:c r="E20" s="42" t="n">
        <x:f>'Assumptions'!$C$31</x:f>
        <x:v>665</x:v>
      </x:c>
      <x:c r="F20" s="1"/>
      <x:c r="G20" s="1"/>
      <x:c r="H20" s="1"/>
      <x:c r="I20" s="1"/>
      <x:c r="J20" s="1"/>
    </x:row>
    <x:row r="21">
      <x:c r="A21" s="1" t="str">
        <x:v>Gross potential rent / year</x:v>
      </x:c>
      <x:c r="B21" s="12" t="n">
        <x:f>(B19+B20)*'Assumptions'!$H$11</x:f>
        <x:v>88140</x:v>
      </x:c>
      <x:c r="C21" s="12" t="n">
        <x:f>(C19+C20)*'Assumptions'!$H$11</x:f>
        <x:v>132780</x:v>
      </x:c>
      <x:c r="D21" s="12" t="n">
        <x:f>(D19+D20)*'Assumptions'!$H$11</x:f>
        <x:v>88140</x:v>
      </x:c>
      <x:c r="E21" s="12" t="n">
        <x:f>(E19+E20)*'Assumptions'!$H$11</x:f>
        <x:v>132780</x:v>
      </x:c>
      <x:c r="F21" s="1"/>
      <x:c r="G21" s="1"/>
      <x:c r="H21" s="1"/>
      <x:c r="I21" s="1"/>
      <x:c r="J21" s="1"/>
    </x:row>
    <x:row r="22">
      <x:c r="A22" s="1" t="str">
        <x:v>Vacancy &amp; credit loss</x:v>
      </x:c>
      <x:c r="B22" s="12" t="n">
        <x:f>-B21*'Assumptions'!$E$5</x:f>
        <x:v>-4407</x:v>
      </x:c>
      <x:c r="C22" s="12" t="n">
        <x:f>-C21*'Assumptions'!$E$5</x:f>
        <x:v>-6639</x:v>
      </x:c>
      <x:c r="D22" s="12" t="n">
        <x:f>-D21*'Assumptions'!$E$5</x:f>
        <x:v>-4407</x:v>
      </x:c>
      <x:c r="E22" s="12" t="n">
        <x:f>-E21*'Assumptions'!$E$5</x:f>
        <x:v>-6639</x:v>
      </x:c>
      <x:c r="F22" s="1"/>
      <x:c r="G22" s="1"/>
      <x:c r="H22" s="1"/>
      <x:c r="I22" s="1"/>
      <x:c r="J22" s="1"/>
    </x:row>
    <x:row r="23">
      <x:c r="A23" s="51" t="str">
        <x:v>Effective gross income</x:v>
      </x:c>
      <x:c r="B23" s="52" t="n">
        <x:f>SUM(B21:B22)</x:f>
        <x:v>83733</x:v>
      </x:c>
      <x:c r="C23" s="52" t="n">
        <x:f>SUM(C21:C22)</x:f>
        <x:v>126141</x:v>
      </x:c>
      <x:c r="D23" s="52" t="n">
        <x:f>SUM(D21:D22)</x:f>
        <x:v>83733</x:v>
      </x:c>
      <x:c r="E23" s="52" t="n">
        <x:f>SUM(E21:E22)</x:f>
        <x:v>126141</x:v>
      </x:c>
      <x:c r="F23" s="1"/>
      <x:c r="G23" s="1"/>
      <x:c r="H23" s="1"/>
      <x:c r="I23" s="1"/>
      <x:c r="J23" s="1"/>
    </x:row>
    <x:row r="24">
      <x:c r="A24" s="1"/>
      <x:c r="B24" s="12"/>
      <x:c r="C24" s="12"/>
      <x:c r="D24" s="12"/>
      <x:c r="E24" s="12"/>
      <x:c r="F24" s="1"/>
      <x:c r="G24" s="1"/>
      <x:c r="H24" s="1"/>
      <x:c r="I24" s="1"/>
      <x:c r="J24" s="1"/>
    </x:row>
    <x:row r="25" ht="20" customHeight="1">
      <x:c r="A25" s="11" t="str">
        <x:v>Normalized Operating Expenses</x:v>
      </x:c>
      <x:c r="B25" s="50" t="str">
        <x:v>Normalized Operating Expenses</x:v>
      </x:c>
      <x:c r="C25" s="50" t="str">
        <x:v>Normalized Operating Expenses</x:v>
      </x:c>
      <x:c r="D25" s="50" t="str">
        <x:v>Normalized Operating Expenses</x:v>
      </x:c>
      <x:c r="E25" s="50" t="str">
        <x:v>Normalized Operating Expenses</x:v>
      </x:c>
      <x:c r="F25" s="1"/>
      <x:c r="G25" s="1"/>
      <x:c r="H25" s="1"/>
      <x:c r="I25" s="1"/>
      <x:c r="J25" s="1"/>
    </x:row>
    <x:row r="26">
      <x:c r="A26" s="1" t="str">
        <x:v>Property management</x:v>
      </x:c>
      <x:c r="B26" s="12" t="n">
        <x:f>-B23*'Assumptions'!$E$6</x:f>
        <x:v>-6698.64</x:v>
      </x:c>
      <x:c r="C26" s="12" t="n">
        <x:f>-C23*'Assumptions'!$E$6</x:f>
        <x:v>-10091.28</x:v>
      </x:c>
      <x:c r="D26" s="12" t="n">
        <x:f>-D23*'Assumptions'!$E$6</x:f>
        <x:v>-6698.64</x:v>
      </x:c>
      <x:c r="E26" s="12" t="n">
        <x:f>-E23*'Assumptions'!$E$6</x:f>
        <x:v>-10091.28</x:v>
      </x:c>
      <x:c r="F26" s="1"/>
      <x:c r="G26" s="1"/>
      <x:c r="H26" s="1"/>
      <x:c r="I26" s="1"/>
      <x:c r="J26" s="1"/>
    </x:row>
    <x:row r="27">
      <x:c r="A27" s="1" t="str">
        <x:v>Property taxes</x:v>
      </x:c>
      <x:c r="B27" s="12" t="n">
        <x:f>-'Assumptions'!$B$10</x:f>
        <x:v>-11278.72</x:v>
      </x:c>
      <x:c r="C27" s="12" t="n">
        <x:f>-'Assumptions'!$B$10</x:f>
        <x:v>-11278.72</x:v>
      </x:c>
      <x:c r="D27" s="12" t="n">
        <x:f>-'Assumptions'!$B$10</x:f>
        <x:v>-11278.72</x:v>
      </x:c>
      <x:c r="E27" s="12" t="n">
        <x:f>-'Assumptions'!$B$10</x:f>
        <x:v>-11278.72</x:v>
      </x:c>
      <x:c r="F27" s="1"/>
      <x:c r="G27" s="1"/>
      <x:c r="H27" s="1"/>
      <x:c r="I27" s="1"/>
      <x:c r="J27" s="1"/>
    </x:row>
    <x:row r="28">
      <x:c r="A28" s="1" t="str">
        <x:v>Insurance</x:v>
      </x:c>
      <x:c r="B28" s="12" t="n">
        <x:f>-'Assumptions'!$E$7</x:f>
        <x:v>-8000</x:v>
      </x:c>
      <x:c r="C28" s="12" t="n">
        <x:f>-'Assumptions'!$E$7</x:f>
        <x:v>-8000</x:v>
      </x:c>
      <x:c r="D28" s="12" t="n">
        <x:f>-'Assumptions'!$E$7</x:f>
        <x:v>-8000</x:v>
      </x:c>
      <x:c r="E28" s="12" t="n">
        <x:f>-'Assumptions'!$E$7</x:f>
        <x:v>-8000</x:v>
      </x:c>
      <x:c r="F28" s="1"/>
      <x:c r="G28" s="1"/>
      <x:c r="H28" s="1"/>
      <x:c r="I28" s="1"/>
      <x:c r="J28" s="1"/>
    </x:row>
    <x:row r="29">
      <x:c r="A29" s="1" t="str">
        <x:v>Owner-paid utilities</x:v>
      </x:c>
      <x:c r="B29" s="12" t="n">
        <x:f>-'Assumptions'!$E$8</x:f>
        <x:v>-1800</x:v>
      </x:c>
      <x:c r="C29" s="12" t="n">
        <x:f>-'Assumptions'!$E$8</x:f>
        <x:v>-1800</x:v>
      </x:c>
      <x:c r="D29" s="12" t="n">
        <x:f>-'Assumptions'!$E$8</x:f>
        <x:v>-1800</x:v>
      </x:c>
      <x:c r="E29" s="12" t="n">
        <x:f>-'Assumptions'!$E$8</x:f>
        <x:v>-1800</x:v>
      </x:c>
      <x:c r="F29" s="1"/>
      <x:c r="G29" s="1"/>
      <x:c r="H29" s="1"/>
      <x:c r="I29" s="1"/>
      <x:c r="J29" s="1"/>
    </x:row>
    <x:row r="30">
      <x:c r="A30" s="1" t="str">
        <x:v>Grounds / snow</x:v>
      </x:c>
      <x:c r="B30" s="12" t="n">
        <x:f>-'Assumptions'!$E$9</x:f>
        <x:v>-2500</x:v>
      </x:c>
      <x:c r="C30" s="12" t="n">
        <x:f>-'Assumptions'!$E$9</x:f>
        <x:v>-2500</x:v>
      </x:c>
      <x:c r="D30" s="12" t="n">
        <x:f>-'Assumptions'!$E$9</x:f>
        <x:v>-2500</x:v>
      </x:c>
      <x:c r="E30" s="12" t="n">
        <x:f>-'Assumptions'!$E$9</x:f>
        <x:v>-2500</x:v>
      </x:c>
      <x:c r="F30" s="1"/>
      <x:c r="G30" s="1"/>
      <x:c r="H30" s="1"/>
      <x:c r="I30" s="1"/>
      <x:c r="J30" s="1"/>
    </x:row>
    <x:row r="31">
      <x:c r="A31" s="1" t="str">
        <x:v>Repairs &amp; maintenance</x:v>
      </x:c>
      <x:c r="B31" s="12" t="n">
        <x:f>-B23*'Assumptions'!$E$10</x:f>
        <x:v>-4186.650000000001</x:v>
      </x:c>
      <x:c r="C31" s="12" t="n">
        <x:f>-C23*'Assumptions'!$E$10</x:f>
        <x:v>-6307.05</x:v>
      </x:c>
      <x:c r="D31" s="12" t="n">
        <x:f>-D23*'Assumptions'!$E$10</x:f>
        <x:v>-4186.650000000001</x:v>
      </x:c>
      <x:c r="E31" s="12" t="n">
        <x:f>-E23*'Assumptions'!$E$10</x:f>
        <x:v>-6307.05</x:v>
      </x:c>
      <x:c r="F31" s="1"/>
      <x:c r="G31" s="1"/>
      <x:c r="H31" s="1"/>
      <x:c r="I31" s="1"/>
      <x:c r="J31" s="1"/>
    </x:row>
    <x:row r="32">
      <x:c r="A32" s="1" t="str">
        <x:v>Replacement reserve</x:v>
      </x:c>
      <x:c r="B32" s="12" t="n">
        <x:f>-'Assumptions'!$B$7*'Assumptions'!$E$11</x:f>
        <x:v>-4000</x:v>
      </x:c>
      <x:c r="C32" s="12" t="n">
        <x:f>-'Assumptions'!$B$7*'Assumptions'!$E$11</x:f>
        <x:v>-4000</x:v>
      </x:c>
      <x:c r="D32" s="12" t="n">
        <x:f>-'Assumptions'!$B$7*'Assumptions'!$E$11</x:f>
        <x:v>-4000</x:v>
      </x:c>
      <x:c r="E32" s="12" t="n">
        <x:f>-'Assumptions'!$B$7*'Assumptions'!$E$11</x:f>
        <x:v>-4000</x:v>
      </x:c>
      <x:c r="F32" s="1"/>
      <x:c r="G32" s="1"/>
      <x:c r="H32" s="1"/>
      <x:c r="I32" s="1"/>
      <x:c r="J32" s="1"/>
    </x:row>
    <x:row r="33">
      <x:c r="A33" s="1" t="str">
        <x:v>Leasing / admin</x:v>
      </x:c>
      <x:c r="B33" s="12" t="n">
        <x:f>-B23*'Assumptions'!$E$12</x:f>
        <x:v>-837.33</x:v>
      </x:c>
      <x:c r="C33" s="12" t="n">
        <x:f>-C23*'Assumptions'!$E$12</x:f>
        <x:v>-1261.41</x:v>
      </x:c>
      <x:c r="D33" s="12" t="n">
        <x:f>-D23*'Assumptions'!$E$12</x:f>
        <x:v>-837.33</x:v>
      </x:c>
      <x:c r="E33" s="12" t="n">
        <x:f>-E23*'Assumptions'!$E$12</x:f>
        <x:v>-1261.41</x:v>
      </x:c>
      <x:c r="F33" s="1"/>
      <x:c r="G33" s="1"/>
      <x:c r="H33" s="1"/>
      <x:c r="I33" s="1"/>
      <x:c r="J33" s="1"/>
    </x:row>
    <x:row r="34">
      <x:c r="A34" s="51" t="str">
        <x:v>Total operating expenses</x:v>
      </x:c>
      <x:c r="B34" s="52" t="n">
        <x:f>SUM(B26:B33)</x:f>
        <x:v>-39301.340000000004</x:v>
      </x:c>
      <x:c r="C34" s="52" t="n">
        <x:f>SUM(C26:C33)</x:f>
        <x:v>-45238.46000000001</x:v>
      </x:c>
      <x:c r="D34" s="52" t="n">
        <x:f>SUM(D26:D33)</x:f>
        <x:v>-39301.340000000004</x:v>
      </x:c>
      <x:c r="E34" s="52" t="n">
        <x:f>SUM(E26:E33)</x:f>
        <x:v>-45238.46000000001</x:v>
      </x:c>
      <x:c r="F34" s="1"/>
      <x:c r="G34" s="1"/>
      <x:c r="H34" s="1"/>
      <x:c r="I34" s="1"/>
      <x:c r="J34" s="1"/>
    </x:row>
    <x:row r="35">
      <x:c r="A35" s="1"/>
      <x:c r="B35" s="12"/>
      <x:c r="C35" s="12"/>
      <x:c r="D35" s="12"/>
      <x:c r="E35" s="12"/>
      <x:c r="F35" s="1"/>
      <x:c r="G35" s="1"/>
      <x:c r="H35" s="1"/>
      <x:c r="I35" s="1"/>
      <x:c r="J35" s="1"/>
    </x:row>
    <x:row r="36" ht="20" customHeight="1">
      <x:c r="A36" s="11" t="str">
        <x:v>Returns &amp; Valuation</x:v>
      </x:c>
      <x:c r="B36" s="50" t="str">
        <x:v>Returns &amp; Valuation</x:v>
      </x:c>
      <x:c r="C36" s="50" t="str">
        <x:v>Returns &amp; Valuation</x:v>
      </x:c>
      <x:c r="D36" s="50" t="str">
        <x:v>Returns &amp; Valuation</x:v>
      </x:c>
      <x:c r="E36" s="50" t="str">
        <x:v>Returns &amp; Valuation</x:v>
      </x:c>
      <x:c r="F36" s="1"/>
      <x:c r="G36" s="1"/>
      <x:c r="H36" s="1"/>
      <x:c r="I36" s="1"/>
      <x:c r="J36" s="1"/>
    </x:row>
    <x:row r="37">
      <x:c r="A37" s="51" t="str">
        <x:v>Net operating income (NOI)</x:v>
      </x:c>
      <x:c r="B37" s="52" t="n">
        <x:f>SUM(B23,B34)</x:f>
        <x:v>44431.659999999996</x:v>
      </x:c>
      <x:c r="C37" s="52" t="n">
        <x:f>SUM(C23,C34)</x:f>
        <x:v>80902.54</x:v>
      </x:c>
      <x:c r="D37" s="52" t="n">
        <x:f>SUM(D23,D34)</x:f>
        <x:v>44431.659999999996</x:v>
      </x:c>
      <x:c r="E37" s="52" t="n">
        <x:f>SUM(E23,E34)</x:f>
        <x:v>80902.54</x:v>
      </x:c>
      <x:c r="F37" s="1"/>
      <x:c r="G37" s="1"/>
      <x:c r="H37" s="1"/>
      <x:c r="I37" s="1"/>
      <x:c r="J37" s="1"/>
    </x:row>
    <x:row r="38">
      <x:c r="A38" s="1" t="str">
        <x:v>Going-in cap rate</x:v>
      </x:c>
      <x:c r="B38" s="14" t="n">
        <x:f>B37/B6</x:f>
        <x:v>0.0341782</x:v>
      </x:c>
      <x:c r="C38" s="14" t="n">
        <x:f>C37/C6</x:f>
        <x:v>0.06223272307692307</x:v>
      </x:c>
      <x:c r="D38" s="14" t="n">
        <x:f>D37/D6</x:f>
        <x:v>0.06332334810442897</x:v>
      </x:c>
      <x:c r="E38" s="14" t="n">
        <x:f>E37/E6</x:f>
        <x:v>0.11530110968063063</x:v>
      </x:c>
      <x:c r="F38" s="1"/>
      <x:c r="G38" s="1"/>
      <x:c r="H38" s="1"/>
      <x:c r="I38" s="1"/>
      <x:c r="J38" s="1"/>
    </x:row>
    <x:row r="39">
      <x:c r="A39" s="1" t="str">
        <x:v>Debt service coverage ratio</x:v>
      </x:c>
      <x:c r="B39" s="22" t="n">
        <x:f>B37/B16</x:f>
        <x:v>0.5397408858362229</x:v>
      </x:c>
      <x:c r="C39" s="22" t="n">
        <x:f>C37/C16</x:f>
        <x:v>0.9827768894072483</x:v>
      </x:c>
      <x:c r="D39" s="22" t="n">
        <x:f>D37/D16</x:f>
        <x:v>0.9999999999999999</x:v>
      </x:c>
      <x:c r="E39" s="22" t="n">
        <x:f>E37/E16</x:f>
        <x:v>1.82083091201184</x:v>
      </x:c>
      <x:c r="F39" s="1"/>
      <x:c r="G39" s="1"/>
      <x:c r="H39" s="1"/>
      <x:c r="I39" s="1"/>
      <x:c r="J39" s="1"/>
    </x:row>
    <x:row r="40">
      <x:c r="A40" s="53" t="str">
        <x:v>Annual pre-tax cash flow</x:v>
      </x:c>
      <x:c r="B40" s="54" t="n">
        <x:f>B37-B16</x:f>
        <x:v>-37888.69253575766</x:v>
      </x:c>
      <x:c r="C40" s="54" t="n">
        <x:f>C37-C16</x:f>
        <x:v>-1417.8125357576646</x:v>
      </x:c>
      <x:c r="D40" s="54" t="n">
        <x:f>D37-D16</x:f>
        <x:v>-7.275957614183426e-12</x:v>
      </x:c>
      <x:c r="E40" s="54" t="n">
        <x:f>E37-E16</x:f>
        <x:v>36470.87999999999</x:v>
      </x:c>
      <x:c r="F40" s="1"/>
      <x:c r="G40" s="1"/>
      <x:c r="H40" s="1"/>
      <x:c r="I40" s="1"/>
      <x:c r="J40" s="1"/>
    </x:row>
    <x:row r="41">
      <x:c r="A41" s="53" t="str">
        <x:v>Monthly pre-tax cash flow</x:v>
      </x:c>
      <x:c r="B41" s="54" t="n">
        <x:f>B40/'Assumptions'!$H$11</x:f>
        <x:v>-3157.391044646472</x:v>
      </x:c>
      <x:c r="C41" s="54" t="n">
        <x:f>C40/'Assumptions'!$H$11</x:f>
        <x:v>-118.15104464647204</x:v>
      </x:c>
      <x:c r="D41" s="54" t="n">
        <x:f>D40/'Assumptions'!$H$11</x:f>
        <x:v>-6.063298011819521e-13</x:v>
      </x:c>
      <x:c r="E41" s="54" t="n">
        <x:f>E40/'Assumptions'!$H$11</x:f>
        <x:v>3039.2399999999993</x:v>
      </x:c>
      <x:c r="F41" s="1"/>
      <x:c r="G41" s="1"/>
      <x:c r="H41" s="1"/>
      <x:c r="I41" s="1"/>
      <x:c r="J41" s="1"/>
    </x:row>
    <x:row r="42">
      <x:c r="A42" s="53" t="str">
        <x:v>Cash-on-cash return</x:v>
      </x:c>
      <x:c r="B42" s="55" t="n">
        <x:f>IF(B11=0,0,B40/B11)</x:f>
        <x:v>-0.10794499297936656</x:v>
      </x:c>
      <x:c r="C42" s="55" t="n">
        <x:f>IF(C11=0,0,C40/C11)</x:f>
        <x:v>-0.0040393519537255404</x:v>
      </x:c>
      <x:c r="D42" s="55" t="n">
        <x:f>IF(D11=0,0,D40/D11)</x:f>
        <x:v>-3.840588051786493e-17</x:v>
      </x:c>
      <x:c r="E42" s="55" t="n">
        <x:f>IF(E11=0,0,E40/E11)</x:f>
        <x:v>0.19251022806000612</x:v>
      </x:c>
      <x:c r="F42" s="1"/>
      <x:c r="G42" s="1"/>
      <x:c r="H42" s="1"/>
      <x:c r="I42" s="1"/>
      <x:c r="J42" s="1"/>
    </x:row>
    <x:row r="43">
      <x:c r="A43" s="1" t="str">
        <x:v>Break-even occupancy</x:v>
      </x:c>
      <x:c r="B43" s="14" t="n">
        <x:f>(ABS(SUM(B27:B30,B32))+B16)/(B21*(1-'Assumptions'!$E$6-'Assumptions'!$E$10-'Assumptions'!$E$12))</x:f>
        <x:v>1.4498481872886906</x:v>
      </x:c>
      <x:c r="C43" s="14" t="n">
        <x:f>(ABS(SUM(C27:C30,C32))+C16)/(C21*(1-'Assumptions'!$E$6-'Assumptions'!$E$10-'Assumptions'!$E$12))</x:f>
        <x:v>0.9624161713181593</x:v>
      </x:c>
      <x:c r="D43" s="14" t="n">
        <x:f>(ABS(SUM(D27:D30,D32))+D16)/(D21*(1-'Assumptions'!$E$6-'Assumptions'!$E$10-'Assumptions'!$E$12))</x:f>
        <x:v>0.9500000000000002</x:v>
      </x:c>
      <x:c r="E43" s="14" t="n">
        <x:f>(ABS(SUM(E27:E30,E32))+E16)/(E21*(1-'Assumptions'!$E$6-'Assumptions'!$E$10-'Assumptions'!$E$12))</x:f>
        <x:v>0.630614550384094</x:v>
      </x:c>
      <x:c r="F43" s="1"/>
      <x:c r="G43" s="1"/>
      <x:c r="H43" s="1"/>
      <x:c r="I43" s="1"/>
      <x:c r="J43" s="1"/>
    </x:row>
    <x:row r="44">
      <x:c r="A44" s="1" t="str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6" t="str">
        <x:v>Value @ base cap rate</x:v>
      </x:c>
      <x:c r="B45" s="56" t="n">
        <x:f>B37/'Assumptions'!$B$11</x:f>
        <x:v>658246.8148148147</x:v>
      </x:c>
      <x:c r="C45" s="56" t="n">
        <x:f>C37/'Assumptions'!$B$11</x:f>
        <x:v>1198556.148148148</x:v>
      </x:c>
      <x:c r="D45" s="56" t="n">
        <x:f>D37/'Assumptions'!$B$11</x:f>
        <x:v>658246.8148148147</x:v>
      </x:c>
      <x:c r="E45" s="56" t="n">
        <x:f>E37/'Assumptions'!$B$11</x:f>
        <x:v>1198556.148148148</x:v>
      </x:c>
      <x:c r="F45" s="1"/>
      <x:c r="G45" s="1"/>
      <x:c r="H45" s="1"/>
      <x:c r="I45" s="1"/>
      <x:c r="J45" s="1"/>
    </x:row>
    <x:row r="46">
      <x:c r="A46" s="6" t="str">
        <x:v>Value less purchase price</x:v>
      </x:c>
      <x:c r="B46" s="56" t="n">
        <x:f>B45-B6</x:f>
        <x:v>-641753.1851851853</x:v>
      </x:c>
      <x:c r="C46" s="56" t="n">
        <x:f>C45-C6</x:f>
        <x:v>-101443.85185185191</x:v>
      </x:c>
      <x:c r="D46" s="56" t="n">
        <x:f>D45-D6</x:f>
        <x:v>-43416.33677227504</x:v>
      </x:c>
      <x:c r="E46" s="56" t="n">
        <x:f>E45-E6</x:f>
        <x:v>496892.99656105833</x:v>
      </x:c>
      <x:c r="F46" s="1"/>
      <x:c r="G46" s="1"/>
      <x:c r="H46" s="1"/>
      <x:c r="I46" s="1"/>
      <x:c r="J46" s="1"/>
    </x:row>
    <x:row r="47">
      <x:c r="A47" s="6" t="str">
        <x:v>Value upside / (shortfall)</x:v>
      </x:c>
      <x:c r="B47" s="57" t="n">
        <x:f>B46/B6</x:f>
        <x:v>-0.49365629629629637</x:v>
      </x:c>
      <x:c r="C47" s="57" t="n">
        <x:f>C46/C6</x:f>
        <x:v>-0.07803373219373225</x:v>
      </x:c>
      <x:c r="D47" s="57" t="n">
        <x:f>D46/D6</x:f>
        <x:v>-0.06187632437883016</x:v>
      </x:c>
      <x:c r="E47" s="57" t="n">
        <x:f>E46/E6</x:f>
        <x:v>0.7081645878611946</x:v>
      </x:c>
      <x:c r="F47" s="1"/>
      <x:c r="G47" s="1"/>
      <x:c r="H47" s="1"/>
      <x:c r="I47" s="1"/>
      <x:c r="J47" s="1"/>
    </x:row>
    <x:row r="48">
      <x:c r="A48" s="6" t="str">
        <x:v>Operational value added</x:v>
      </x:c>
      <x:c r="B48" s="56" t="n">
        <x:f>0</x:f>
        <x:v>0</x:v>
      </x:c>
      <x:c r="C48" s="56" t="n">
        <x:f>C45-B45</x:f>
        <x:v>540309.3333333334</x:v>
      </x:c>
      <x:c r="D48" s="56" t="n">
        <x:f>0</x:f>
        <x:v>0</x:v>
      </x:c>
      <x:c r="E48" s="56" t="n">
        <x:f>E45-D45</x:f>
        <x:v>540309.3333333334</x:v>
      </x:c>
      <x:c r="F48" s="1"/>
      <x:c r="G48" s="1"/>
      <x:c r="H48" s="1"/>
      <x:c r="I48" s="1"/>
      <x:c r="J48" s="1"/>
    </x:row>
    <x:row r="49">
      <x:c r="A49" s="1" t="str">
        <x:v>Seller-reported 2025 NOI</x:v>
      </x:c>
      <x:c r="B49" s="12" t="n">
        <x:f>'Historical'!$E$11</x:f>
        <x:v>72048.76</x:v>
      </x:c>
      <x:c r="C49" s="12" t="n">
        <x:f>'Historical'!$E$11</x:f>
        <x:v>72048.76</x:v>
      </x:c>
      <x:c r="D49" s="12" t="n">
        <x:f>'Historical'!$E$11</x:f>
        <x:v>72048.76</x:v>
      </x:c>
      <x:c r="E49" s="12" t="n">
        <x:f>'Historical'!$E$11</x:f>
        <x:v>72048.76</x:v>
      </x:c>
      <x:c r="F49" s="1"/>
      <x:c r="G49" s="1"/>
      <x:c r="H49" s="1"/>
      <x:c r="I49" s="1"/>
      <x:c r="J49" s="1"/>
    </x:row>
    <x:row r="50">
      <x:c r="A50" s="1" t="str">
        <x:v>Seller NOI cash flow after modeled debt</x:v>
      </x:c>
      <x:c r="B50" s="12" t="n">
        <x:f>B49-B16</x:f>
        <x:v>-10271.592535757663</x:v>
      </x:c>
      <x:c r="C50" s="12" t="n">
        <x:f>C49-C16</x:f>
        <x:v>-10271.592535757663</x:v>
      </x:c>
      <x:c r="D50" s="12" t="n">
        <x:f>D49-D16</x:f>
        <x:v>27617.09999999999</x:v>
      </x:c>
      <x:c r="E50" s="12" t="n">
        <x:f>E49-E16</x:f>
        <x:v>27617.09999999999</x:v>
      </x:c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I1"/>
    <x:mergeCell ref="A2:I2"/>
    <x:mergeCell ref="A5:E5"/>
    <x:mergeCell ref="A18:E18"/>
    <x:mergeCell ref="A25:E25"/>
    <x:mergeCell ref="A36:E36"/>
    <x:mergeCell ref="G4:I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Seller Financial History</x:v>
      </x:c>
      <x:c r="B1" s="5" t="str">
        <x:v>Seller Financial History</x:v>
      </x:c>
      <x:c r="C1" s="5" t="str">
        <x:v>Seller Financial History</x:v>
      </x:c>
      <x:c r="D1" s="5" t="str">
        <x:v>Seller Financial History</x:v>
      </x:c>
      <x:c r="E1" s="5" t="str">
        <x:v>Seller Financial History</x:v>
      </x:c>
      <x:c r="F1" s="5" t="str">
        <x:v>Seller Financial History</x:v>
      </x:c>
      <x:c r="G1" s="1"/>
      <x:c r="H1" s="1"/>
      <x:c r="I1" s="1"/>
      <x:c r="J1" s="1"/>
    </x:row>
    <x:row r="2" ht="30" customHeight="1">
      <x:c r="A2" s="8" t="str">
        <x:v>Seller statements are for 12 months ending December 9. Taxes and insurance are not shown in the statements and are added in buyer underwriting.</x:v>
      </x:c>
      <x:c r="B2" s="8" t="str">
        <x:v>Seller statements are for 12 months ending December 9. Taxes and insurance are not shown in the statements and are added in buyer underwriting.</x:v>
      </x:c>
      <x:c r="C2" s="8" t="str">
        <x:v>Seller statements are for 12 months ending December 9. Taxes and insurance are not shown in the statements and are added in buyer underwriting.</x:v>
      </x:c>
      <x:c r="D2" s="8" t="str">
        <x:v>Seller statements are for 12 months ending December 9. Taxes and insurance are not shown in the statements and are added in buyer underwriting.</x:v>
      </x:c>
      <x:c r="E2" s="8" t="str">
        <x:v>Seller statements are for 12 months ending December 9. Taxes and insurance are not shown in the statements and are added in buyer underwriting.</x:v>
      </x:c>
      <x:c r="F2" s="8" t="str">
        <x:v>Seller statements are for 12 months ending December 9. Taxes and insurance are not shown in the statements and are added in buyer underwriting.</x:v>
      </x:c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9" t="str">
        <x:v>Metric</x:v>
      </x:c>
      <x:c r="B4" s="29" t="n">
        <x:v>2022</x:v>
      </x:c>
      <x:c r="C4" s="29" t="n">
        <x:v>2023</x:v>
      </x:c>
      <x:c r="D4" s="29" t="n">
        <x:v>2024</x:v>
      </x:c>
      <x:c r="E4" s="29" t="n">
        <x:v>2025</x:v>
      </x:c>
      <x:c r="F4" s="1"/>
      <x:c r="G4" s="1"/>
      <x:c r="H4" s="1"/>
      <x:c r="I4" s="1"/>
      <x:c r="J4" s="1"/>
    </x:row>
    <x:row r="5">
      <x:c r="A5" s="1" t="str">
        <x:v>Rent income</x:v>
      </x:c>
      <x:c r="B5" s="12" t="n">
        <x:v>75807.5</x:v>
      </x:c>
      <x:c r="C5" s="12" t="n">
        <x:v>77176.77</x:v>
      </x:c>
      <x:c r="D5" s="12" t="n">
        <x:v>83596.38</x:v>
      </x:c>
      <x:c r="E5" s="12" t="n">
        <x:v>84485</x:v>
      </x:c>
      <x:c r="F5" s="1"/>
      <x:c r="G5" s="1"/>
      <x:c r="H5" s="1"/>
      <x:c r="I5" s="1"/>
      <x:c r="J5" s="1"/>
    </x:row>
    <x:row r="6">
      <x:c r="A6" s="1" t="str">
        <x:v>Other income</x:v>
      </x:c>
      <x:c r="B6" s="12" t="n">
        <x:v>843.09</x:v>
      </x:c>
      <x:c r="C6" s="12" t="n">
        <x:v>246.5</x:v>
      </x:c>
      <x:c r="D6" s="12" t="n">
        <x:v>201.5</x:v>
      </x:c>
      <x:c r="E6" s="12" t="n">
        <x:v>290</x:v>
      </x:c>
      <x:c r="F6" s="1"/>
      <x:c r="G6" s="1"/>
      <x:c r="H6" s="1"/>
      <x:c r="I6" s="1"/>
      <x:c r="J6" s="1"/>
    </x:row>
    <x:row r="7">
      <x:c r="A7" s="51" t="str">
        <x:v>Total income</x:v>
      </x:c>
      <x:c r="B7" s="52" t="n">
        <x:v>76650.59</x:v>
      </x:c>
      <x:c r="C7" s="52" t="n">
        <x:v>77423.27</x:v>
      </x:c>
      <x:c r="D7" s="52" t="n">
        <x:v>83797.88</x:v>
      </x:c>
      <x:c r="E7" s="52" t="n">
        <x:v>84775</x:v>
      </x:c>
      <x:c r="F7" s="1"/>
      <x:c r="G7" s="1"/>
      <x:c r="H7" s="1"/>
      <x:c r="I7" s="1"/>
      <x:c r="J7" s="1"/>
    </x:row>
    <x:row r="8">
      <x:c r="A8" s="1" t="str">
        <x:v>Management fee</x:v>
      </x:c>
      <x:c r="B8" s="12" t="n">
        <x:v>6064.6</x:v>
      </x:c>
      <x:c r="C8" s="12" t="n">
        <x:v>6142.94</x:v>
      </x:c>
      <x:c r="D8" s="12" t="n">
        <x:v>6687.72</x:v>
      </x:c>
      <x:c r="E8" s="12" t="n">
        <x:v>6758.8</x:v>
      </x:c>
      <x:c r="F8" s="1"/>
      <x:c r="G8" s="1"/>
      <x:c r="H8" s="1"/>
      <x:c r="I8" s="1"/>
      <x:c r="J8" s="1"/>
    </x:row>
    <x:row r="9">
      <x:c r="A9" s="1" t="str">
        <x:v>Other operating expenses</x:v>
      </x:c>
      <x:c r="B9" s="12" t="n">
        <x:v>6363.4</x:v>
      </x:c>
      <x:c r="C9" s="12" t="n">
        <x:v>13689.58</x:v>
      </x:c>
      <x:c r="D9" s="12" t="n">
        <x:v>7023.89</x:v>
      </x:c>
      <x:c r="E9" s="12" t="n">
        <x:v>5967.44</x:v>
      </x:c>
      <x:c r="F9" s="1"/>
      <x:c r="G9" s="1"/>
      <x:c r="H9" s="1"/>
      <x:c r="I9" s="1"/>
      <x:c r="J9" s="1"/>
    </x:row>
    <x:row r="10">
      <x:c r="A10" s="33" t="str">
        <x:v>Total operating expenses before capex</x:v>
      </x:c>
      <x:c r="B10" s="34" t="n">
        <x:f>SUM(B8:B9)</x:f>
        <x:v>12428</x:v>
      </x:c>
      <x:c r="C10" s="34" t="n">
        <x:f>SUM(C8:C9)</x:f>
        <x:v>19832.52</x:v>
      </x:c>
      <x:c r="D10" s="34" t="n">
        <x:f>SUM(D8:D9)</x:f>
        <x:v>13711.61</x:v>
      </x:c>
      <x:c r="E10" s="34" t="n">
        <x:f>SUM(E8:E9)</x:f>
        <x:v>12726.24</x:v>
      </x:c>
      <x:c r="F10" s="1"/>
      <x:c r="G10" s="1"/>
      <x:c r="H10" s="1"/>
      <x:c r="I10" s="1"/>
      <x:c r="J10" s="1"/>
    </x:row>
    <x:row r="11">
      <x:c r="A11" s="35" t="str">
        <x:v>Seller NOI before capex</x:v>
      </x:c>
      <x:c r="B11" s="36" t="n">
        <x:f>B7-B10</x:f>
        <x:v>64222.59</x:v>
      </x:c>
      <x:c r="C11" s="36" t="n">
        <x:f>C7-C10</x:f>
        <x:v>57590.75</x:v>
      </x:c>
      <x:c r="D11" s="36" t="n">
        <x:f>D7-D10</x:f>
        <x:v>70086.27</x:v>
      </x:c>
      <x:c r="E11" s="36" t="n">
        <x:f>E7-E10</x:f>
        <x:v>72048.76</x:v>
      </x:c>
      <x:c r="F11" s="1"/>
      <x:c r="G11" s="1"/>
      <x:c r="H11" s="1"/>
      <x:c r="I11" s="1"/>
      <x:c r="J11" s="1"/>
    </x:row>
    <x:row r="12">
      <x:c r="A12" s="1" t="str">
        <x:v>Capital expenditures</x:v>
      </x:c>
      <x:c r="B12" s="12" t="n">
        <x:v>-2.65</x:v>
      </x:c>
      <x:c r="C12" s="12" t="n">
        <x:v>0</x:v>
      </x:c>
      <x:c r="D12" s="12" t="n">
        <x:v>2705.62</x:v>
      </x:c>
      <x:c r="E12" s="12" t="n">
        <x:v>1912.56</x:v>
      </x:c>
      <x:c r="F12" s="1"/>
      <x:c r="G12" s="1"/>
      <x:c r="H12" s="1"/>
      <x:c r="I12" s="1"/>
      <x:c r="J12" s="1"/>
    </x:row>
    <x:row r="13">
      <x:c r="A13" s="51" t="str">
        <x:v>Seller cash flow after capex</x:v>
      </x:c>
      <x:c r="B13" s="52" t="n">
        <x:f>B11-B12</x:f>
        <x:v>64225.24</x:v>
      </x:c>
      <x:c r="C13" s="52" t="n">
        <x:f>C11-C12</x:f>
        <x:v>57590.75</x:v>
      </x:c>
      <x:c r="D13" s="52" t="n">
        <x:f>D11-D12</x:f>
        <x:v>67380.65000000001</x:v>
      </x:c>
      <x:c r="E13" s="52" t="n">
        <x:f>E11-E12</x:f>
        <x:v>70136.2</x:v>
      </x:c>
      <x:c r="F13" s="1"/>
      <x:c r="G13" s="1"/>
      <x:c r="H13" s="1"/>
      <x:c r="I13" s="1"/>
      <x:c r="J13" s="1"/>
    </x:row>
    <x:row r="14">
      <x:c r="A14" s="37" t="str">
        <x:v>Current property taxes (not in statements)</x:v>
      </x:c>
      <x:c r="B14" s="58" t="n">
        <x:f>'Assumptions'!$B$10</x:f>
        <x:v>11278.72</x:v>
      </x:c>
      <x:c r="C14" s="58" t="n">
        <x:f>'Assumptions'!$B$10</x:f>
        <x:v>11278.72</x:v>
      </x:c>
      <x:c r="D14" s="58" t="n">
        <x:f>'Assumptions'!$B$10</x:f>
        <x:v>11278.72</x:v>
      </x:c>
      <x:c r="E14" s="58" t="n">
        <x:f>'Assumptions'!$B$10</x:f>
        <x:v>11278.72</x:v>
      </x:c>
      <x:c r="F14" s="1"/>
      <x:c r="G14" s="1"/>
      <x:c r="H14" s="1"/>
      <x:c r="I14" s="1"/>
      <x:c r="J14" s="1"/>
    </x:row>
    <x:row r="15">
      <x:c r="A15" s="37" t="str">
        <x:v>Insurance estimate (not in statements)</x:v>
      </x:c>
      <x:c r="B15" s="58" t="n">
        <x:f>'Assumptions'!$E$7</x:f>
        <x:v>8000</x:v>
      </x:c>
      <x:c r="C15" s="58" t="n">
        <x:f>'Assumptions'!$E$7</x:f>
        <x:v>8000</x:v>
      </x:c>
      <x:c r="D15" s="58" t="n">
        <x:f>'Assumptions'!$E$7</x:f>
        <x:v>8000</x:v>
      </x:c>
      <x:c r="E15" s="58" t="n">
        <x:f>'Assumptions'!$E$7</x:f>
        <x:v>8000</x:v>
      </x:c>
      <x:c r="F15" s="1"/>
      <x:c r="G15" s="1"/>
      <x:c r="H15" s="1"/>
      <x:c r="I15" s="1"/>
      <x:c r="J15" s="1"/>
    </x:row>
    <x:row r="16">
      <x:c r="A16" s="37" t="str">
        <x:v>Illustrative NOI after tax &amp; insurance</x:v>
      </x:c>
      <x:c r="B16" s="58" t="n">
        <x:f>B11-B14-B15</x:f>
        <x:v>44943.869999999995</x:v>
      </x:c>
      <x:c r="C16" s="58" t="n">
        <x:f>C11-C14-C15</x:f>
        <x:v>38312.03</x:v>
      </x:c>
      <x:c r="D16" s="58" t="n">
        <x:f>D11-D14-D15</x:f>
        <x:v>50807.55</x:v>
      </x:c>
      <x:c r="E16" s="58" t="n">
        <x:f>E11-E14-E15</x:f>
        <x:v>52770.03999999999</x:v>
      </x:c>
      <x:c r="F16" s="1"/>
      <x:c r="G16" s="1"/>
      <x:c r="H16" s="1"/>
      <x:c r="I16" s="1"/>
      <x:c r="J16" s="1"/>
    </x:row>
    <x:row r="17">
      <x:c r="A17" s="1" t="str">
        <x:v>NOI margin before tax &amp; insurance</x:v>
      </x:c>
      <x:c r="B17" s="14" t="n">
        <x:f>B11/B7</x:f>
        <x:v>0.8378616524673848</x:v>
      </x:c>
      <x:c r="C17" s="14" t="n">
        <x:f>C11/C7</x:f>
        <x:v>0.743842904077805</x:v>
      </x:c>
      <x:c r="D17" s="14" t="n">
        <x:f>D11/D7</x:f>
        <x:v>0.8363728294796957</x:v>
      </x:c>
      <x:c r="E17" s="14" t="n">
        <x:f>E11/E7</x:f>
        <x:v>0.8498821586552638</x:v>
      </x:c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29" t="str">
        <x:v>Four-year averages</x:v>
      </x:c>
      <x:c r="B19" s="29" t="str">
        <x:v>Rent income</x:v>
      </x:c>
      <x:c r="C19" s="29" t="str">
        <x:v>Seller NOI</x:v>
      </x:c>
      <x:c r="D19" s="29" t="str">
        <x:v>Seller cash flow</x:v>
      </x:c>
      <x:c r="E19" s="29" t="str">
        <x:v>Illustrative NOI</x:v>
      </x:c>
      <x:c r="F19" s="1"/>
      <x:c r="G19" s="1"/>
      <x:c r="H19" s="1"/>
      <x:c r="I19" s="1"/>
      <x:c r="J19" s="1"/>
    </x:row>
    <x:row r="20">
      <x:c r="A20" s="12" t="n">
        <x:f>AVERAGE(B5:E5)</x:f>
        <x:v>80266.4125</x:v>
      </x:c>
      <x:c r="B20" s="12" t="n">
        <x:f>AVERAGE(B5:E5)</x:f>
        <x:v>80266.4125</x:v>
      </x:c>
      <x:c r="C20" s="12" t="n">
        <x:f>AVERAGE(B11:E11)</x:f>
        <x:v>65987.0925</x:v>
      </x:c>
      <x:c r="D20" s="12" t="n">
        <x:f>AVERAGE(B13:E13)</x:f>
        <x:v>64833.21000000001</x:v>
      </x:c>
      <x:c r="E20" s="12" t="n">
        <x:f>AVERAGE(B16:E16)</x:f>
        <x:v>46708.3725</x:v>
      </x:c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32" customHeight="1">
      <x:c r="A22" s="61" t="str">
        <x:v>Observation</x:v>
      </x:c>
      <x:c r="B22" s="60" t="str">
        <x:v>2023 repair and grounds costs were elevated; 2024 and 2025 were lighter but included appliance replacements.</x:v>
      </x:c>
      <x:c r="C22" s="60"/>
      <x:c r="D22" s="60"/>
      <x:c r="E22" s="60"/>
      <x:c r="F22" s="60"/>
      <x:c r="G22" s="1"/>
      <x:c r="H22" s="1"/>
      <x:c r="I22" s="1"/>
      <x:c r="J22" s="1"/>
    </x:row>
    <x:row r="23" ht="32" customHeight="1">
      <x:c r="A23" s="61" t="str">
        <x:v>Critical omission</x:v>
      </x:c>
      <x:c r="B23" s="60" t="str">
        <x:v>The statements do not show property tax or insurance, so seller NOI is not lender-quality NOI for a buyer.</x:v>
      </x:c>
      <x:c r="C23" s="60"/>
      <x:c r="D23" s="60"/>
      <x:c r="E23" s="60"/>
      <x:c r="F23" s="60"/>
      <x:c r="G23" s="1"/>
      <x:c r="H23" s="1"/>
      <x:c r="I23" s="1"/>
      <x:c r="J23" s="1"/>
    </x:row>
    <x:row r="24" ht="32" customHeight="1">
      <x:c r="A24" s="61" t="str">
        <x:v>Maintenance report</x:v>
      </x:c>
      <x:c r="B24" s="60" t="str">
        <x:v>Cumulative maintenance ledger totals $296,918.78 across 11 manager-tracked units/areas through 01/21/2026; use it to target physical due diligence, not as an annual expense forecast.</x:v>
      </x:c>
      <x:c r="C24" s="60"/>
      <x:c r="D24" s="60"/>
      <x:c r="E24" s="60"/>
      <x:c r="F24" s="60"/>
      <x:c r="G24" s="1"/>
      <x:c r="H24" s="1"/>
      <x:c r="I24" s="1"/>
      <x:c r="J24" s="1"/>
    </x:row>
    <x:row r="25" ht="32" customHeight="1">
      <x:c r="A25" s="61" t="str">
        <x:v>Rent roll</x:v>
      </x:c>
      <x:c r="B25" s="60" t="str">
        <x:v>Current charge total is $7,345/month: $6,680 apartments + $665 garage/shop.</x:v>
      </x:c>
      <x:c r="C25" s="60"/>
      <x:c r="D25" s="60"/>
      <x:c r="E25" s="60"/>
      <x:c r="F25" s="60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F1"/>
    <x:mergeCell ref="A2:F2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4" hidden="0" customWidth="1"/>
    <x:col min="6" max="6" width="16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5" t="str">
        <x:v>Price &amp; Valuation Sensitivities</x:v>
      </x:c>
      <x:c r="B1" s="5" t="str">
        <x:v>Price &amp; Valuation Sensitivities</x:v>
      </x:c>
      <x:c r="C1" s="5" t="str">
        <x:v>Price &amp; Valuation Sensitivities</x:v>
      </x:c>
      <x:c r="D1" s="5" t="str">
        <x:v>Price &amp; Valuation Sensitivities</x:v>
      </x:c>
      <x:c r="E1" s="5" t="str">
        <x:v>Price &amp; Valuation Sensitivities</x:v>
      </x:c>
      <x:c r="F1" s="5" t="str">
        <x:v>Price &amp; Valuation Sensitivities</x:v>
      </x:c>
      <x:c r="G1" s="5" t="str">
        <x:v>Price &amp; Valuation Sensitivities</x:v>
      </x:c>
      <x:c r="H1" s="5" t="str">
        <x:v>Price &amp; Valuation Sensitivities</x:v>
      </x:c>
      <x:c r="I1" s="5" t="str">
        <x:v>Price &amp; Valuation Sensitivities</x:v>
      </x:c>
      <x:c r="J1" s="1"/>
    </x:row>
    <x:row r="2" ht="30" customHeight="1">
      <x:c r="A2" s="8" t="str">
        <x:v>Cash flow sensitivity holds 25% down and financing terms constant. Valuation sensitivity capitalizes normalized NOI.</x:v>
      </x:c>
      <x:c r="B2" s="8" t="str">
        <x:v>Cash flow sensitivity holds 25% down and financing terms constant. Valuation sensitivity capitalizes normalized NOI.</x:v>
      </x:c>
      <x:c r="C2" s="8" t="str">
        <x:v>Cash flow sensitivity holds 25% down and financing terms constant. Valuation sensitivity capitalizes normalized NOI.</x:v>
      </x:c>
      <x:c r="D2" s="8" t="str">
        <x:v>Cash flow sensitivity holds 25% down and financing terms constant. Valuation sensitivity capitalizes normalized NOI.</x:v>
      </x:c>
      <x:c r="E2" s="8" t="str">
        <x:v>Cash flow sensitivity holds 25% down and financing terms constant. Valuation sensitivity capitalizes normalized NOI.</x:v>
      </x:c>
      <x:c r="F2" s="8" t="str">
        <x:v>Cash flow sensitivity holds 25% down and financing terms constant. Valuation sensitivity capitalizes normalized NOI.</x:v>
      </x:c>
      <x:c r="G2" s="8" t="str">
        <x:v>Cash flow sensitivity holds 25% down and financing terms constant. Valuation sensitivity capitalizes normalized NOI.</x:v>
      </x:c>
      <x:c r="H2" s="8" t="str">
        <x:v>Cash flow sensitivity holds 25% down and financing terms constant. Valuation sensitivity capitalizes normalized NOI.</x:v>
      </x:c>
      <x:c r="I2" s="8" t="str">
        <x:v>Cash flow sensitivity holds 25% down and financing terms constant. Valuation sensitivity capitalizes normalized NOI.</x:v>
      </x:c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0" customHeight="1">
      <x:c r="A4" s="11" t="str">
        <x:v>Annual Cash Flow by Purchase Price</x:v>
      </x:c>
      <x:c r="B4" s="11" t="str">
        <x:v>Annual Cash Flow by Purchase Price</x:v>
      </x:c>
      <x:c r="C4" s="11" t="str">
        <x:v>Annual Cash Flow by Purchase Price</x:v>
      </x:c>
      <x:c r="D4" s="11" t="str">
        <x:v>Annual Cash Flow by Purchase Price</x:v>
      </x:c>
      <x:c r="E4" s="1"/>
      <x:c r="F4" s="11" t="str">
        <x:v>NOI Capitalization Value</x:v>
      </x:c>
      <x:c r="G4" s="11" t="str">
        <x:v>NOI Capitalization Value</x:v>
      </x:c>
      <x:c r="H4" s="11" t="str">
        <x:v>NOI Capitalization Value</x:v>
      </x:c>
      <x:c r="I4" s="11" t="str">
        <x:v>NOI Capitalization Value</x:v>
      </x:c>
      <x:c r="J4" s="1"/>
    </x:row>
    <x:row r="5">
      <x:c r="A5" s="29" t="str">
        <x:v>Purchase Price</x:v>
      </x:c>
      <x:c r="B5" s="29" t="str">
        <x:v>As-Is Cash Flow</x:v>
      </x:c>
      <x:c r="C5" s="29" t="str">
        <x:v>Pro Forma Cash Flow</x:v>
      </x:c>
      <x:c r="D5" s="29" t="str">
        <x:v>Pro Forma DSCR</x:v>
      </x:c>
      <x:c r="E5" s="1"/>
      <x:c r="F5" s="29" t="str">
        <x:v>Cap Rate</x:v>
      </x:c>
      <x:c r="G5" s="29" t="str">
        <x:v>As-Is Value</x:v>
      </x:c>
      <x:c r="H5" s="29" t="str">
        <x:v>Pro Forma Value</x:v>
      </x:c>
      <x:c r="I5" s="29" t="str">
        <x:v>Operational Value Added</x:v>
      </x:c>
      <x:c r="J5" s="1"/>
    </x:row>
    <x:row r="6">
      <x:c r="A6" s="12" t="n">
        <x:v>600000</x:v>
      </x:c>
      <x:c r="B6" s="42" t="n">
        <x:f>'Underwriting'!$B$37-A6*'Assumptions'!$H$12*'Assumptions'!$H$13</x:f>
        <x:v>6437.651137342618</x:v>
      </x:c>
      <x:c r="C6" s="42" t="n">
        <x:f>'Underwriting'!$C$37-A6*'Assumptions'!$H$12*'Assumptions'!$H$13</x:f>
        <x:v>42908.531137342616</x:v>
      </x:c>
      <x:c r="D6" s="49" t="n">
        <x:f>'Underwriting'!$C$37/(A6*'Assumptions'!$H$12*'Assumptions'!$H$13)</x:f>
        <x:v>2.129349927049038</x:v>
      </x:c>
      <x:c r="E6" s="1"/>
      <x:c r="F6" s="21" t="n">
        <x:v>0.06</x:v>
      </x:c>
      <x:c r="G6" s="42" t="n">
        <x:f>'Underwriting'!$B$37/F6</x:f>
        <x:v>740527.6666666666</x:v>
      </x:c>
      <x:c r="H6" s="42" t="n">
        <x:f>'Underwriting'!$C$37/F6</x:f>
        <x:v>1348375.6666666665</x:v>
      </x:c>
      <x:c r="I6" s="42" t="n">
        <x:f>H6-G6</x:f>
        <x:v>607847.9999999999</x:v>
      </x:c>
      <x:c r="J6" s="1"/>
    </x:row>
    <x:row r="7">
      <x:c r="A7" s="12" t="n">
        <x:v>700000</x:v>
      </x:c>
      <x:c r="B7" s="42" t="n">
        <x:f>'Underwriting'!$B$37-A7*'Assumptions'!$H$12*'Assumptions'!$H$13</x:f>
        <x:v>105.31632689972321</x:v>
      </x:c>
      <x:c r="C7" s="42" t="n">
        <x:f>'Underwriting'!$C$37-A7*'Assumptions'!$H$12*'Assumptions'!$H$13</x:f>
        <x:v>36576.19632689972</x:v>
      </x:c>
      <x:c r="D7" s="49" t="n">
        <x:f>'Underwriting'!$C$37/(A7*'Assumptions'!$H$12*'Assumptions'!$H$13)</x:f>
        <x:v>1.825157080327747</x:v>
      </x:c>
      <x:c r="E7" s="1"/>
      <x:c r="F7" s="21" t="n">
        <x:v>0.0625</x:v>
      </x:c>
      <x:c r="G7" s="42" t="n">
        <x:f>'Underwriting'!$B$37/F7</x:f>
        <x:v>710906.5599999999</x:v>
      </x:c>
      <x:c r="H7" s="42" t="n">
        <x:f>'Underwriting'!$C$37/F7</x:f>
        <x:v>1294440.64</x:v>
      </x:c>
      <x:c r="I7" s="42" t="n">
        <x:f>H7-G7</x:f>
        <x:v>583534.08</x:v>
      </x:c>
      <x:c r="J7" s="1"/>
    </x:row>
    <x:row r="8">
      <x:c r="A8" s="12" t="n">
        <x:v>800000</x:v>
      </x:c>
      <x:c r="B8" s="42" t="n">
        <x:f>'Underwriting'!$B$37-A8*'Assumptions'!$H$12*'Assumptions'!$H$13</x:f>
        <x:v>-6227.018483543172</x:v>
      </x:c>
      <x:c r="C8" s="42" t="n">
        <x:f>'Underwriting'!$C$37-A8*'Assumptions'!$H$12*'Assumptions'!$H$13</x:f>
        <x:v>30243.861516456825</x:v>
      </x:c>
      <x:c r="D8" s="49" t="n">
        <x:f>'Underwriting'!$C$37/(A8*'Assumptions'!$H$12*'Assumptions'!$H$13)</x:f>
        <x:v>1.5970124452867787</x:v>
      </x:c>
      <x:c r="E8" s="1"/>
      <x:c r="F8" s="21" t="n">
        <x:v>0.065</x:v>
      </x:c>
      <x:c r="G8" s="42" t="n">
        <x:f>'Underwriting'!$B$37/F8</x:f>
        <x:v>683563.9999999999</x:v>
      </x:c>
      <x:c r="H8" s="42" t="n">
        <x:f>'Underwriting'!$C$37/F8</x:f>
        <x:v>1244654.4615384615</x:v>
      </x:c>
      <x:c r="I8" s="42" t="n">
        <x:f>H8-G8</x:f>
        <x:v>561090.4615384616</x:v>
      </x:c>
      <x:c r="J8" s="1"/>
    </x:row>
    <x:row r="9">
      <x:c r="A9" s="12" t="n">
        <x:v>900000</x:v>
      </x:c>
      <x:c r="B9" s="42" t="n">
        <x:f>'Underwriting'!$B$37-A9*'Assumptions'!$H$12*'Assumptions'!$H$13</x:f>
        <x:v>-12559.353293986067</x:v>
      </x:c>
      <x:c r="C9" s="42" t="n">
        <x:f>'Underwriting'!$C$37-A9*'Assumptions'!$H$12*'Assumptions'!$H$13</x:f>
        <x:v>23911.52670601393</x:v>
      </x:c>
      <x:c r="D9" s="49" t="n">
        <x:f>'Underwriting'!$C$37/(A9*'Assumptions'!$H$12*'Assumptions'!$H$13)</x:f>
        <x:v>1.4195666180326922</x:v>
      </x:c>
      <x:c r="E9" s="1"/>
      <x:c r="F9" s="21" t="n">
        <x:v>0.0675</x:v>
      </x:c>
      <x:c r="G9" s="42" t="n">
        <x:f>'Underwriting'!$B$37/F9</x:f>
        <x:v>658246.8148148147</x:v>
      </x:c>
      <x:c r="H9" s="42" t="n">
        <x:f>'Underwriting'!$C$37/F9</x:f>
        <x:v>1198556.148148148</x:v>
      </x:c>
      <x:c r="I9" s="42" t="n">
        <x:f>H9-G9</x:f>
        <x:v>540309.3333333334</x:v>
      </x:c>
      <x:c r="J9" s="1"/>
    </x:row>
    <x:row r="10">
      <x:c r="A10" s="12" t="n">
        <x:v>1000000</x:v>
      </x:c>
      <x:c r="B10" s="42" t="n">
        <x:f>'Underwriting'!$B$37-A10*'Assumptions'!$H$12*'Assumptions'!$H$13</x:f>
        <x:v>-18891.688104428962</x:v>
      </x:c>
      <x:c r="C10" s="42" t="n">
        <x:f>'Underwriting'!$C$37-A10*'Assumptions'!$H$12*'Assumptions'!$H$13</x:f>
        <x:v>17579.191895571035</x:v>
      </x:c>
      <x:c r="D10" s="49" t="n">
        <x:f>'Underwriting'!$C$37/(A10*'Assumptions'!$H$12*'Assumptions'!$H$13)</x:f>
        <x:v>1.277609956229423</x:v>
      </x:c>
      <x:c r="E10" s="1"/>
      <x:c r="F10" s="21" t="n">
        <x:v>0.07</x:v>
      </x:c>
      <x:c r="G10" s="42" t="n">
        <x:f>'Underwriting'!$B$37/F10</x:f>
        <x:v>634737.9999999999</x:v>
      </x:c>
      <x:c r="H10" s="42" t="n">
        <x:f>'Underwriting'!$C$37/F10</x:f>
        <x:v>1155750.5714285711</x:v>
      </x:c>
      <x:c r="I10" s="42" t="n">
        <x:f>H10-G10</x:f>
        <x:v>521012.57142857125</x:v>
      </x:c>
      <x:c r="J10" s="1"/>
    </x:row>
    <x:row r="11">
      <x:c r="A11" s="12" t="n">
        <x:v>1100000</x:v>
      </x:c>
      <x:c r="B11" s="42" t="n">
        <x:f>'Underwriting'!$B$37-A11*'Assumptions'!$H$12*'Assumptions'!$H$13</x:f>
        <x:v>-25224.022914871857</x:v>
      </x:c>
      <x:c r="C11" s="42" t="n">
        <x:f>'Underwriting'!$C$37-A11*'Assumptions'!$H$12*'Assumptions'!$H$13</x:f>
        <x:v>11246.85708512814</x:v>
      </x:c>
      <x:c r="D11" s="49" t="n">
        <x:f>'Underwriting'!$C$37/(A11*'Assumptions'!$H$12*'Assumptions'!$H$13)</x:f>
        <x:v>1.1614635965722027</x:v>
      </x:c>
      <x:c r="E11" s="1"/>
      <x:c r="F11" s="21" t="n">
        <x:v>0.0725</x:v>
      </x:c>
      <x:c r="G11" s="42" t="n">
        <x:f>'Underwriting'!$B$37/F11</x:f>
        <x:v>612850.4827586206</x:v>
      </x:c>
      <x:c r="H11" s="42" t="n">
        <x:f>'Underwriting'!$C$37/F11</x:f>
        <x:v>1115897.103448276</x:v>
      </x:c>
      <x:c r="I11" s="42" t="n">
        <x:f>H11-G11</x:f>
        <x:v>503046.6206896553</x:v>
      </x:c>
      <x:c r="J11" s="1"/>
    </x:row>
    <x:row r="12">
      <x:c r="A12" s="12" t="n">
        <x:v>1200000</x:v>
      </x:c>
      <x:c r="B12" s="42" t="n">
        <x:f>'Underwriting'!$B$37-A12*'Assumptions'!$H$12*'Assumptions'!$H$13</x:f>
        <x:v>-31556.35772531476</x:v>
      </x:c>
      <x:c r="C12" s="42" t="n">
        <x:f>'Underwriting'!$C$37-A12*'Assumptions'!$H$12*'Assumptions'!$H$13</x:f>
        <x:v>4914.522274685238</x:v>
      </x:c>
      <x:c r="D12" s="49" t="n">
        <x:f>'Underwriting'!$C$37/(A12*'Assumptions'!$H$12*'Assumptions'!$H$13)</x:f>
        <x:v>1.064674963524519</x:v>
      </x:c>
      <x:c r="E12" s="1"/>
      <x:c r="F12" s="21" t="n">
        <x:v>0.075</x:v>
      </x:c>
      <x:c r="G12" s="42" t="n">
        <x:f>'Underwriting'!$B$37/F12</x:f>
        <x:v>592422.1333333333</x:v>
      </x:c>
      <x:c r="H12" s="42" t="n">
        <x:f>'Underwriting'!$C$37/F12</x:f>
        <x:v>1078700.5333333332</x:v>
      </x:c>
      <x:c r="I12" s="42" t="n">
        <x:f>H12-G12</x:f>
        <x:v>486278.3999999999</x:v>
      </x:c>
      <x:c r="J12" s="1"/>
    </x:row>
    <x:row r="13">
      <x:c r="A13" s="12" t="n">
        <x:v>1300000</x:v>
      </x:c>
      <x:c r="B13" s="42" t="n">
        <x:f>'Underwriting'!$B$37-A13*'Assumptions'!$H$12*'Assumptions'!$H$13</x:f>
        <x:v>-37888.69253575765</x:v>
      </x:c>
      <x:c r="C13" s="42" t="n">
        <x:f>'Underwriting'!$C$37-A13*'Assumptions'!$H$12*'Assumptions'!$H$13</x:f>
        <x:v>-1417.81253575765</x:v>
      </x:c>
      <x:c r="D13" s="49" t="n">
        <x:f>'Underwriting'!$C$37/(A13*'Assumptions'!$H$12*'Assumptions'!$H$13)</x:f>
        <x:v>0.9827768894072484</x:v>
      </x:c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39" t="str">
        <x:v>Interpretation</x:v>
      </x:c>
      <x:c r="G14" s="39" t="str">
        <x:v>At the base 6.75% cap rate, the rent increase creates operating value, but the pro forma value still sits below the $1.30M asking price.</x:v>
      </x:c>
      <x:c r="H14" s="39"/>
      <x:c r="I14" s="39"/>
      <x:c r="J14" s="1"/>
    </x:row>
    <x:row r="15">
      <x:c r="A15" s="1"/>
      <x:c r="B15" s="1"/>
      <x:c r="C15" s="1"/>
      <x:c r="D15" s="1"/>
      <x:c r="E15" s="1"/>
      <x:c r="F15" s="39" t="str">
        <x:v>Low-cap case</x:v>
      </x:c>
      <x:c r="G15" s="39" t="str">
        <x:v>A 6.25% exit cap nearly supports the asking price after rents reach $1,300/unit.</x:v>
      </x:c>
      <x:c r="H15" s="39"/>
      <x:c r="I15" s="39"/>
      <x:c r="J15" s="1"/>
    </x:row>
    <x:row r="16">
      <x:c r="A16" s="1"/>
      <x:c r="B16" s="1"/>
      <x:c r="C16" s="1"/>
      <x:c r="D16" s="1"/>
      <x:c r="E16" s="1"/>
      <x:c r="F16" s="39" t="str">
        <x:v>Price discipline</x:v>
      </x:c>
      <x:c r="G16" s="39" t="str">
        <x:v>The as-is cash-flow break-even price is driven by normalized NOI and the loan debt constant, not by the valuation cap rate.</x:v>
      </x:c>
      <x:c r="H16" s="39"/>
      <x:c r="I16" s="39"/>
      <x:c r="J16" s="1"/>
    </x:row>
    <x:row r="17">
      <x:c r="A17" s="1"/>
      <x:c r="B17" s="1"/>
      <x:c r="C17" s="1"/>
      <x:c r="D17" s="1"/>
      <x:c r="E17" s="1"/>
      <x:c r="F17" s="39" t="str">
        <x:v>Caution</x:v>
      </x:c>
      <x:c r="G17" s="39" t="str">
        <x:v>Cap rates are assumptions, not appraisals. Verify market rent and local sales before making an offer.</x:v>
      </x:c>
      <x:c r="H17" s="39"/>
      <x:c r="I17" s="39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I1"/>
    <x:mergeCell ref="A2:I2"/>
    <x:mergeCell ref="A4:D4"/>
    <x:mergeCell ref="F4:I4"/>
    <x:mergeCell ref="G14:I14"/>
    <x:mergeCell ref="G15:I15"/>
    <x:mergeCell ref="G16:I16"/>
    <x:mergeCell ref="G17:I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6" hidden="0" customWidth="1"/>
  </x:cols>
  <x:sheetData>
    <x:row r="1" ht="30" customHeight="1">
      <x:c r="A1" s="5" t="str">
        <x:v>Model Checks</x:v>
      </x:c>
      <x:c r="B1" s="5" t="str">
        <x:v>Model Checks</x:v>
      </x:c>
      <x:c r="C1" s="5" t="str">
        <x:v>Model Checks</x:v>
      </x:c>
      <x:c r="D1" s="5" t="str">
        <x:v>Model Checks</x:v>
      </x:c>
      <x:c r="E1" s="5" t="str">
        <x:v>Model Checks</x:v>
      </x:c>
      <x:c r="F1" s="5" t="str">
        <x:v>Model Checks</x:v>
      </x:c>
      <x:c r="G1" s="5" t="str">
        <x:v>Model Checks</x:v>
      </x:c>
      <x:c r="H1" s="1"/>
      <x:c r="I1" s="1"/>
      <x:c r="J1" s="1"/>
    </x:row>
    <x:row r="2" ht="30" customHeight="1">
      <x:c r="A2" s="8" t="str">
        <x:v>Each check should read OK before relying on the workbook.</x:v>
      </x:c>
      <x:c r="B2" s="8" t="str">
        <x:v>Each check should read OK before relying on the workbook.</x:v>
      </x:c>
      <x:c r="C2" s="8" t="str">
        <x:v>Each check should read OK before relying on the workbook.</x:v>
      </x:c>
      <x:c r="D2" s="8" t="str">
        <x:v>Each check should read OK before relying on the workbook.</x:v>
      </x:c>
      <x:c r="E2" s="8" t="str">
        <x:v>Each check should read OK before relying on the workbook.</x:v>
      </x:c>
      <x:c r="F2" s="8" t="str">
        <x:v>Each check should read OK before relying on the workbook.</x:v>
      </x:c>
      <x:c r="G2" s="8" t="str">
        <x:v>Each check should read OK before relying on the workbook.</x:v>
      </x:c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9" t="str">
        <x:v>Check</x:v>
      </x:c>
      <x:c r="B4" s="29" t="str">
        <x:v>Actual</x:v>
      </x:c>
      <x:c r="C4" s="29" t="str">
        <x:v>Expected</x:v>
      </x:c>
      <x:c r="D4" s="29" t="str">
        <x:v>Difference</x:v>
      </x:c>
      <x:c r="E4" s="29" t="str">
        <x:v>Tolerance</x:v>
      </x:c>
      <x:c r="F4" s="29" t="str">
        <x:v>Status</x:v>
      </x:c>
      <x:c r="G4" s="29" t="str">
        <x:v>Notes</x:v>
      </x:c>
      <x:c r="H4" s="1"/>
      <x:c r="I4" s="1"/>
      <x:c r="J4" s="1"/>
    </x:row>
    <x:row r="5">
      <x:c r="A5" s="1" t="str">
        <x:v>Current monthly rent roll ties</x:v>
      </x:c>
      <x:c r="B5" s="62" t="n">
        <x:f>'Assumptions'!B32</x:f>
        <x:v>7345</x:v>
      </x:c>
      <x:c r="C5" s="62" t="n">
        <x:f>'Assumptions'!B16</x:f>
        <x:v>7345</x:v>
      </x:c>
      <x:c r="D5" s="62" t="n">
        <x:f>B5-C5</x:f>
        <x:v>0</x:v>
      </x:c>
      <x:c r="E5" s="62" t="n">
        <x:v>0.01</x:v>
      </x:c>
      <x:c r="F5" s="1" t="str">
        <x:f>IF(ABS(D5)&lt;=E5,"OK","FAIL")</x:f>
        <x:v>OK</x:v>
      </x:c>
      <x:c r="G5" s="64" t="str">
        <x:v>Unit rent schedule vs stated master rent roll total</x:v>
      </x:c>
      <x:c r="H5" s="1"/>
      <x:c r="I5" s="1"/>
      <x:c r="J5" s="1"/>
    </x:row>
    <x:row r="6">
      <x:c r="A6" s="1" t="str">
        <x:v>Pro forma apartment rent ties</x:v>
      </x:c>
      <x:c r="B6" s="62" t="n">
        <x:f>'Assumptions'!C30</x:f>
        <x:v>10400</x:v>
      </x:c>
      <x:c r="C6" s="62" t="n">
        <x:f>'Assumptions'!B7*'Assumptions'!E13</x:f>
        <x:v>10400</x:v>
      </x:c>
      <x:c r="D6" s="62" t="n">
        <x:f>B6-C6</x:f>
        <x:v>0</x:v>
      </x:c>
      <x:c r="E6" s="62" t="n">
        <x:v>0.01</x:v>
      </x:c>
      <x:c r="F6" s="1" t="str">
        <x:f>IF(ABS(D6)&lt;=E6,"OK","FAIL")</x:f>
        <x:v>OK</x:v>
      </x:c>
      <x:c r="G6" s="64" t="str">
        <x:v>8 apartments x pro forma rent</x:v>
      </x:c>
      <x:c r="H6" s="1"/>
      <x:c r="I6" s="1"/>
      <x:c r="J6" s="1"/>
    </x:row>
    <x:row r="7">
      <x:c r="A7" s="1" t="str">
        <x:v>All-in rate equals CMT + margin</x:v>
      </x:c>
      <x:c r="B7" s="21" t="n">
        <x:f>'Assumptions'!H7</x:f>
        <x:v>0.0695</x:v>
      </x:c>
      <x:c r="C7" s="21" t="n">
        <x:f>'Assumptions'!H5+'Assumptions'!H6</x:f>
        <x:v>0.0695</x:v>
      </x:c>
      <x:c r="D7" s="21" t="n">
        <x:f>B7-C7</x:f>
        <x:v>0</x:v>
      </x:c>
      <x:c r="E7" s="21" t="n">
        <x:v>0.000001</x:v>
      </x:c>
      <x:c r="F7" s="1" t="str">
        <x:f>IF(ABS(D7)&lt;=E7,"OK","FAIL")</x:f>
        <x:v>OK</x:v>
      </x:c>
      <x:c r="G7" s="64" t="str">
        <x:v>Financing assumption</x:v>
      </x:c>
      <x:c r="H7" s="1"/>
      <x:c r="I7" s="1"/>
      <x:c r="J7" s="1"/>
    </x:row>
    <x:row r="8">
      <x:c r="A8" s="1" t="str">
        <x:v>Break-even as-is cash flow is zero</x:v>
      </x:c>
      <x:c r="B8" s="62" t="n">
        <x:f>'Underwriting'!D40</x:f>
        <x:v>-7.275957614183426e-12</x:v>
      </x:c>
      <x:c r="C8" s="62" t="n">
        <x:f>0</x:f>
        <x:v>0</x:v>
      </x:c>
      <x:c r="D8" s="62" t="n">
        <x:f>B8-C8</x:f>
        <x:v>-7.275957614183426e-12</x:v>
      </x:c>
      <x:c r="E8" s="62" t="n">
        <x:v>1</x:v>
      </x:c>
      <x:c r="F8" s="1" t="str">
        <x:f>IF(ABS(D8)&lt;=E8,"OK","FAIL")</x:f>
        <x:v>OK</x:v>
      </x:c>
      <x:c r="G8" s="64" t="str">
        <x:v>Price solved to zero pre-tax cash flow</x:v>
      </x:c>
      <x:c r="H8" s="1"/>
      <x:c r="I8" s="1"/>
      <x:c r="J8" s="1"/>
    </x:row>
    <x:row r="9">
      <x:c r="A9" s="1" t="str">
        <x:v>As-is NOI ties</x:v>
      </x:c>
      <x:c r="B9" s="62" t="n">
        <x:f>'Underwriting'!B37</x:f>
        <x:v>44431.659999999996</x:v>
      </x:c>
      <x:c r="C9" s="62" t="n">
        <x:f>'Underwriting'!B23+'Underwriting'!B34</x:f>
        <x:v>44431.659999999996</x:v>
      </x:c>
      <x:c r="D9" s="62" t="n">
        <x:f>B9-C9</x:f>
        <x:v>0</x:v>
      </x:c>
      <x:c r="E9" s="62" t="n">
        <x:v>0.01</x:v>
      </x:c>
      <x:c r="F9" s="1" t="str">
        <x:f>IF(ABS(D9)&lt;=E9,"OK","FAIL")</x:f>
        <x:v>OK</x:v>
      </x:c>
      <x:c r="G9" s="64" t="str">
        <x:v>EGI less normalized expenses</x:v>
      </x:c>
      <x:c r="H9" s="1"/>
      <x:c r="I9" s="1"/>
      <x:c r="J9" s="1"/>
    </x:row>
    <x:row r="10">
      <x:c r="A10" s="1" t="str">
        <x:v>Pro forma NOI ties</x:v>
      </x:c>
      <x:c r="B10" s="62" t="n">
        <x:f>'Underwriting'!C37</x:f>
        <x:v>80902.54</x:v>
      </x:c>
      <x:c r="C10" s="62" t="n">
        <x:f>'Underwriting'!C23+'Underwriting'!C34</x:f>
        <x:v>80902.54</x:v>
      </x:c>
      <x:c r="D10" s="62" t="n">
        <x:f>B10-C10</x:f>
        <x:v>0</x:v>
      </x:c>
      <x:c r="E10" s="62" t="n">
        <x:v>0.01</x:v>
      </x:c>
      <x:c r="F10" s="1" t="str">
        <x:f>IF(ABS(D10)&lt;=E10,"OK","FAIL")</x:f>
        <x:v>OK</x:v>
      </x:c>
      <x:c r="G10" s="64" t="str">
        <x:v>EGI less normalized expenses</x:v>
      </x:c>
      <x:c r="H10" s="1"/>
      <x:c r="I10" s="1"/>
      <x:c r="J10" s="1"/>
    </x:row>
    <x:row r="11">
      <x:c r="A11" s="1" t="str">
        <x:v>2025 seller NOI ties</x:v>
      </x:c>
      <x:c r="B11" s="62" t="n">
        <x:f>'Historical'!E11</x:f>
        <x:v>72048.76</x:v>
      </x:c>
      <x:c r="C11" s="62" t="n">
        <x:f>'Historical'!E7-'Historical'!E10</x:f>
        <x:v>72048.76</x:v>
      </x:c>
      <x:c r="D11" s="62" t="n">
        <x:f>B11-C11</x:f>
        <x:v>0</x:v>
      </x:c>
      <x:c r="E11" s="62" t="n">
        <x:v>0.01</x:v>
      </x:c>
      <x:c r="F11" s="1" t="str">
        <x:f>IF(ABS(D11)&lt;=E11,"OK","FAIL")</x:f>
        <x:v>OK</x:v>
      </x:c>
      <x:c r="G11" s="64" t="str">
        <x:v>Seller P&amp;L arithmetic</x:v>
      </x:c>
      <x:c r="H11" s="1"/>
      <x:c r="I11" s="1"/>
      <x:c r="J11" s="1"/>
    </x:row>
    <x:row r="12">
      <x:c r="A12" s="1" t="str">
        <x:v>Base value formula ties</x:v>
      </x:c>
      <x:c r="B12" s="62" t="n">
        <x:f>'Underwriting'!C45</x:f>
        <x:v>1198556.148148148</x:v>
      </x:c>
      <x:c r="C12" s="62" t="n">
        <x:f>'Underwriting'!C37/'Assumptions'!B11</x:f>
        <x:v>1198556.148148148</x:v>
      </x:c>
      <x:c r="D12" s="62" t="n">
        <x:f>B12-C12</x:f>
        <x:v>0</x:v>
      </x:c>
      <x:c r="E12" s="62" t="n">
        <x:v>1</x:v>
      </x:c>
      <x:c r="F12" s="1" t="str">
        <x:f>IF(ABS(D12)&lt;=E12,"OK","FAIL")</x:f>
        <x:v>OK</x:v>
      </x:c>
      <x:c r="G12" s="64" t="str">
        <x:v>NOI divided by cap rate</x:v>
      </x:c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9" t="str">
        <x:v>Overall model status</x:v>
      </x:c>
      <x:c r="B14" s="9" t="str">
        <x:v>Overall model status</x:v>
      </x:c>
      <x:c r="C14" s="9" t="str">
        <x:v>Overall model status</x:v>
      </x:c>
      <x:c r="D14" s="9" t="str">
        <x:v>Overall model status</x:v>
      </x:c>
      <x:c r="E14" s="9" t="str">
        <x:v>Overall model status</x:v>
      </x:c>
      <x:c r="F14" s="9" t="str">
        <x:f>IF(COUNTIF(F5:F12,"FAIL")=0,"OK","FAIL")</x:f>
        <x:v>OK</x:v>
      </x:c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G1"/>
    <x:mergeCell ref="A2:G2"/>
    <x:mergeCell ref="A14:E14"/>
  </x:mergeCells>
  <x:conditionalFormatting sqref="F5:F14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14" hidden="0" customWidth="1"/>
    <x:col min="4" max="4" width="26" hidden="0" customWidth="1"/>
    <x:col min="5" max="5" width="58" hidden="0" customWidth="1"/>
    <x:col min="6" max="6" width="42" hidden="0" customWidth="1"/>
  </x:cols>
  <x:sheetData>
    <x:row r="1" ht="30" customHeight="1">
      <x:c r="A1" s="5" t="str">
        <x:v>Sources &amp; Audit Trail</x:v>
      </x:c>
      <x:c r="B1" s="5" t="str">
        <x:v>Sources &amp; Audit Trail</x:v>
      </x:c>
      <x:c r="C1" s="5" t="str">
        <x:v>Sources &amp; Audit Trail</x:v>
      </x:c>
      <x:c r="D1" s="5" t="str">
        <x:v>Sources &amp; Audit Trail</x:v>
      </x:c>
      <x:c r="E1" s="5" t="str">
        <x:v>Sources &amp; Audit Trail</x:v>
      </x:c>
      <x:c r="F1" s="5" t="str">
        <x:v>Sources &amp; Audit Trail</x:v>
      </x:c>
      <x:c r="G1" s="1"/>
      <x:c r="H1" s="1"/>
      <x:c r="I1" s="1"/>
      <x:c r="J1" s="1"/>
    </x:row>
    <x:row r="2" ht="30" customHeight="1">
      <x:c r="A2" s="8" t="str">
        <x:v>Plain-text URLs are included for auditability. Seller documents were downloaded from the MLS collaboration link.</x:v>
      </x:c>
      <x:c r="B2" s="8" t="str">
        <x:v>Plain-text URLs are included for auditability. Seller documents were downloaded from the MLS collaboration link.</x:v>
      </x:c>
      <x:c r="C2" s="8" t="str">
        <x:v>Plain-text URLs are included for auditability. Seller documents were downloaded from the MLS collaboration link.</x:v>
      </x:c>
      <x:c r="D2" s="8" t="str">
        <x:v>Plain-text URLs are included for auditability. Seller documents were downloaded from the MLS collaboration link.</x:v>
      </x:c>
      <x:c r="E2" s="8" t="str">
        <x:v>Plain-text URLs are included for auditability. Seller documents were downloaded from the MLS collaboration link.</x:v>
      </x:c>
      <x:c r="F2" s="8" t="str">
        <x:v>Plain-text URLs are included for auditability. Seller documents were downloaded from the MLS collaboration link.</x:v>
      </x:c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9" t="str">
        <x:v>Item</x:v>
      </x:c>
      <x:c r="B4" s="29" t="str">
        <x:v>Value / Scope</x:v>
      </x:c>
      <x:c r="C4" s="29" t="str">
        <x:v>As of</x:v>
      </x:c>
      <x:c r="D4" s="29" t="str">
        <x:v>Source</x:v>
      </x:c>
      <x:c r="E4" s="29" t="str">
        <x:v>URL</x:v>
      </x:c>
      <x:c r="F4" s="29" t="str">
        <x:v>Notes</x:v>
      </x:c>
      <x:c r="G4" s="1"/>
      <x:c r="H4" s="1"/>
      <x:c r="I4" s="1"/>
      <x:c r="J4" s="1"/>
    </x:row>
    <x:row r="5" ht="44" customHeight="1">
      <x:c r="A5" s="66" t="str">
        <x:v>Listing facts</x:v>
      </x:c>
      <x:c r="B5" s="66" t="str">
        <x:v>$1.30M; 8 units; 7,904 sf; taxes $11,278.72</x:v>
      </x:c>
      <x:c r="C5" s="67" t="n">
        <x:v>46234</x:v>
      </x:c>
      <x:c r="D5" s="66" t="str">
        <x:v>Intermountain MLS collaboration link</x:v>
      </x:c>
      <x:c r="E5" s="66" t="str">
        <x:v>https://imls.paragonrels.com/CCR/collablink/7d45e31b-9075-4b76-a0fb-ae4470d87e67/listings/results?&amp;forMlsId=IMLS&amp;sid=KPwuy_aYIKz</x:v>
      </x:c>
      <x:c r="F5" s="66" t="str">
        <x:v>MLS #98973277</x:v>
      </x:c>
      <x:c r="G5" s="1"/>
      <x:c r="H5" s="1"/>
      <x:c r="I5" s="1"/>
      <x:c r="J5" s="1"/>
    </x:row>
    <x:row r="6" ht="44" customHeight="1">
      <x:c r="A6" s="66" t="str">
        <x:v>Master rent roll</x:v>
      </x:c>
      <x:c r="B6" s="66" t="str">
        <x:v>$7,345/month total; apartment detail and garage rents</x:v>
      </x:c>
      <x:c r="C6" s="67" t="n">
        <x:v>46043</x:v>
      </x:c>
      <x:c r="D6" s="66" t="str">
        <x:v>Seller rent roll</x:v>
      </x:c>
      <x:c r="E6" s="66" t="str">
        <x:v>https://imls.paragonrels.com/ParagonLS/Files/AssociatedDocs/IMLS/7/IMLS_1230797.pdf</x:v>
      </x:c>
      <x:c r="F6" s="66" t="str">
        <x:v>Apartment rents total $6,680; garages total $665</x:v>
      </x:c>
      <x:c r="G6" s="1"/>
      <x:c r="H6" s="1"/>
      <x:c r="I6" s="1"/>
      <x:c r="J6" s="1"/>
    </x:row>
    <x:row r="7" ht="44" customHeight="1">
      <x:c r="A7" s="66" t="str">
        <x:v>Tenant abstracts</x:v>
      </x:c>
      <x:c r="B7" s="66" t="str">
        <x:v>Active tenant charges and lease dates</x:v>
      </x:c>
      <x:c r="C7" s="67" t="n">
        <x:v>46043</x:v>
      </x:c>
      <x:c r="D7" s="66" t="str">
        <x:v>Seller tenant info</x:v>
      </x:c>
      <x:c r="E7" s="66" t="str">
        <x:v>https://imls.paragonrels.com/ParagonLS/Files/AssociatedDocs/IMLS/7/IMLS_1230798.pdf</x:v>
      </x:c>
      <x:c r="F7" s="66" t="str">
        <x:v>15 active tenants across shared and individual leases</x:v>
      </x:c>
      <x:c r="G7" s="1"/>
      <x:c r="H7" s="1"/>
      <x:c r="I7" s="1"/>
      <x:c r="J7" s="1"/>
    </x:row>
    <x:row r="8" ht="44" customHeight="1">
      <x:c r="A8" s="66" t="str">
        <x:v>Maintenance history</x:v>
      </x:c>
      <x:c r="B8" s="66" t="str">
        <x:v>$296,918.78 cumulative manager ledger</x:v>
      </x:c>
      <x:c r="C8" s="67" t="n">
        <x:v>46043</x:v>
      </x:c>
      <x:c r="D8" s="66" t="str">
        <x:v>Seller maintenance report</x:v>
      </x:c>
      <x:c r="E8" s="66" t="str">
        <x:v>https://imls.paragonrels.com/ParagonLS/Files/AssociatedDocs/IMLS/7/IMLS_1232525.pdf</x:v>
      </x:c>
      <x:c r="F8" s="66" t="str">
        <x:v>Cumulative since 2009; not an annual expense run rate</x:v>
      </x:c>
      <x:c r="G8" s="1"/>
      <x:c r="H8" s="1"/>
      <x:c r="I8" s="1"/>
      <x:c r="J8" s="1"/>
    </x:row>
    <x:row r="9" ht="44" customHeight="1">
      <x:c r="A9" s="66" t="str">
        <x:v>2025 P&amp;L</x:v>
      </x:c>
      <x:c r="B9" s="66" t="str">
        <x:v>$84,775 income; $72,048.76 NOI; $1,912.56 capex</x:v>
      </x:c>
      <x:c r="C9" s="67" t="n">
        <x:v>46000</x:v>
      </x:c>
      <x:c r="D9" s="66" t="str">
        <x:v>Seller P&amp;L</x:v>
      </x:c>
      <x:c r="E9" s="66" t="str">
        <x:v>https://imls.paragonrels.com/ParagonLS/Files/AssociatedDocs/IMLS/7/IMLS_1233494.pdf</x:v>
      </x:c>
      <x:c r="F9" s="66" t="str">
        <x:v>Taxes and insurance not shown</x:v>
      </x:c>
      <x:c r="G9" s="1"/>
      <x:c r="H9" s="1"/>
      <x:c r="I9" s="1"/>
      <x:c r="J9" s="1"/>
    </x:row>
    <x:row r="10" ht="44" customHeight="1">
      <x:c r="A10" s="66" t="str">
        <x:v>2024 P&amp;L</x:v>
      </x:c>
      <x:c r="B10" s="66" t="str">
        <x:v>$83,797.88 revenue; $67,380.65 net after $2,705.62 capex</x:v>
      </x:c>
      <x:c r="C10" s="67" t="n">
        <x:v>45635</x:v>
      </x:c>
      <x:c r="D10" s="66" t="str">
        <x:v>Seller summary statement</x:v>
      </x:c>
      <x:c r="E10" s="66" t="str">
        <x:v>https://imls.paragonrels.com/ParagonLS/Files/AssociatedDocs/IMLS/7/IMLS_1233497.pdf</x:v>
      </x:c>
      <x:c r="F10" s="66" t="str">
        <x:v>Taxes and insurance not shown</x:v>
      </x:c>
      <x:c r="G10" s="1"/>
      <x:c r="H10" s="1"/>
      <x:c r="I10" s="1"/>
      <x:c r="J10" s="1"/>
    </x:row>
    <x:row r="11" ht="44" customHeight="1">
      <x:c r="A11" s="66" t="str">
        <x:v>2023 P&amp;L</x:v>
      </x:c>
      <x:c r="B11" s="66" t="str">
        <x:v>$77,423.27 revenue; $57,590.75 net</x:v>
      </x:c>
      <x:c r="C11" s="67" t="n">
        <x:v>45269</x:v>
      </x:c>
      <x:c r="D11" s="66" t="str">
        <x:v>Seller summary statement</x:v>
      </x:c>
      <x:c r="E11" s="66" t="str">
        <x:v>https://imls.paragonrels.com/ParagonLS/Files/AssociatedDocs/IMLS/7/IMLS_1233496.pdf</x:v>
      </x:c>
      <x:c r="F11" s="66" t="str">
        <x:v>Taxes and insurance not shown</x:v>
      </x:c>
      <x:c r="G11" s="1"/>
      <x:c r="H11" s="1"/>
      <x:c r="I11" s="1"/>
      <x:c r="J11" s="1"/>
    </x:row>
    <x:row r="12" ht="44" customHeight="1">
      <x:c r="A12" s="66" t="str">
        <x:v>2022 P&amp;L</x:v>
      </x:c>
      <x:c r="B12" s="66" t="str">
        <x:v>$76,650.59 income; $64,222.59 NOI</x:v>
      </x:c>
      <x:c r="C12" s="67" t="n">
        <x:v>44904</x:v>
      </x:c>
      <x:c r="D12" s="66" t="str">
        <x:v>Seller P&amp;L</x:v>
      </x:c>
      <x:c r="E12" s="66" t="str">
        <x:v>https://imls.paragonrels.com/ParagonLS/Files/AssociatedDocs/IMLS/7/IMLS_1233495.pdf</x:v>
      </x:c>
      <x:c r="F12" s="66" t="str">
        <x:v>Taxes and insurance not shown</x:v>
      </x:c>
      <x:c r="G12" s="1"/>
      <x:c r="H12" s="1"/>
      <x:c r="I12" s="1"/>
      <x:c r="J12" s="1"/>
    </x:row>
    <x:row r="13" ht="44" customHeight="1">
      <x:c r="A13" s="66" t="str">
        <x:v>5-year CMT</x:v>
      </x:c>
      <x:c r="B13" s="66" t="str">
        <x:v>4.45%</x:v>
      </x:c>
      <x:c r="C13" s="67" t="n">
        <x:v>46234</x:v>
      </x:c>
      <x:c r="D13" s="66" t="str">
        <x:v>U.S. Department of the Treasury</x:v>
      </x:c>
      <x:c r="E13" s="66" t="str">
        <x:v>https://home.treasury.gov/resource-center/data-chart-center/interest-rates/TextView?field_tdr_date_value_month=202607&amp;type=daily_treasury_yield_curve</x:v>
      </x:c>
      <x:c r="F13" s="66" t="str">
        <x:v>5-year par yield curve rate</x:v>
      </x:c>
      <x:c r="G13" s="1"/>
      <x:c r="H13" s="1"/>
      <x:c r="I13" s="1"/>
      <x:c r="J13" s="1"/>
    </x:row>
    <x:row r="14" ht="44" customHeight="1">
      <x:c r="A14" s="66" t="str">
        <x:v>Valuation cap rate</x:v>
      </x:c>
      <x:c r="B14" s="66" t="str">
        <x:v>6.75% base; 6.25%-7.25% range</x:v>
      </x:c>
      <x:c r="C14" s="67" t="n">
        <x:v>46234</x:v>
      </x:c>
      <x:c r="D14" s="66" t="str">
        <x:v>Analyst assumption</x:v>
      </x:c>
      <x:c r="E14" s="66" t="str"/>
      <x:c r="F14" s="66" t="str">
        <x:v>Verify against current Moscow, Idaho multifamily sales</x:v>
      </x:c>
      <x:c r="G14" s="1"/>
      <x:c r="H14" s="1"/>
      <x:c r="I14" s="1"/>
      <x:c r="J14" s="1"/>
    </x:row>
    <x:row r="15" ht="44" customHeight="1">
      <x:c r="A15" s="66" t="str">
        <x:v>Insurance</x:v>
      </x:c>
      <x:c r="B15" s="66" t="str">
        <x:v>$8,000/year estimate</x:v>
      </x:c>
      <x:c r="C15" s="67" t="n">
        <x:v>46234</x:v>
      </x:c>
      <x:c r="D15" s="66" t="str">
        <x:v>Analyst assumption</x:v>
      </x:c>
      <x:c r="E15" s="66" t="str"/>
      <x:c r="F15" s="66" t="str">
        <x:v>Obtain bindable quote before offer</x:v>
      </x:c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1:F1"/>
    <x:mergeCell ref="A2:F2"/>
  </x:mergeCells>
  <x:pageMargins left="0.7" right="0.7" top="0.75" bottom="0.75" header="0.3" footer="0.3"/>
</x:worksheet>
</file>